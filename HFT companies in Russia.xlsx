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частники срочный рынок" sheetId="1" r:id="rId4"/>
  </sheets>
  <definedNames/>
  <calcPr/>
</workbook>
</file>

<file path=xl/sharedStrings.xml><?xml version="1.0" encoding="utf-8"?>
<sst xmlns="http://schemas.openxmlformats.org/spreadsheetml/2006/main" count="500" uniqueCount="384">
  <si>
    <t>№</t>
  </si>
  <si>
    <t>Наименование организации</t>
  </si>
  <si>
    <t>ИНН</t>
  </si>
  <si>
    <t>ОГРН</t>
  </si>
  <si>
    <t>Адрес юридического лица</t>
  </si>
  <si>
    <t>Телефоны</t>
  </si>
  <si>
    <t>№ лицензии</t>
  </si>
  <si>
    <t>Дата выдачи</t>
  </si>
  <si>
    <t>Срок действия</t>
  </si>
  <si>
    <t>Статус</t>
  </si>
  <si>
    <t>Адрес сайта</t>
  </si>
  <si>
    <t>Акционерное общество "Инвестиционная компания "Ай Ти Инвест"</t>
  </si>
  <si>
    <t>7717116241</t>
  </si>
  <si>
    <t>1027700010205</t>
  </si>
  <si>
    <t>123112, г. Москва, Набережная Пресненская, д. 6, стр.2, эт. 13, помещ. 1-5</t>
  </si>
  <si>
    <t>(495) 933-32-32</t>
  </si>
  <si>
    <t>045-07514-100000</t>
  </si>
  <si>
    <t>17.03.2004</t>
  </si>
  <si>
    <t>Без ограничения срока действия</t>
  </si>
  <si>
    <t>Действующая</t>
  </si>
  <si>
    <t>https://itinvest.ru/</t>
  </si>
  <si>
    <t>Акционерное общество Инвестиционная компания "АК БАРС Финанс"</t>
  </si>
  <si>
    <t>7706537061</t>
  </si>
  <si>
    <t>1047796383030</t>
  </si>
  <si>
    <t>117638, г. Москва, ул. Одесская, д. 2, эт. 16</t>
  </si>
  <si>
    <t>+7 (495) 644-29-95</t>
  </si>
  <si>
    <t>177-11176-100000</t>
  </si>
  <si>
    <t>15.04.2008</t>
  </si>
  <si>
    <t>www.akbf.ru</t>
  </si>
  <si>
    <t>Акционерное общество "Акционерный коммерческий банк "АЛЕФ-БАНК"</t>
  </si>
  <si>
    <t>7710050376</t>
  </si>
  <si>
    <t>1027739176080</t>
  </si>
  <si>
    <t>121467, г. Москва, вн.тер.г. Муниципальный округ Кунцево ул. Молдавская д. 5</t>
  </si>
  <si>
    <t>+7 (495)-411-77-47</t>
  </si>
  <si>
    <t>045-02786-100000</t>
  </si>
  <si>
    <t>16.11.2000</t>
  </si>
  <si>
    <t>www.alefbank.ru</t>
  </si>
  <si>
    <t>Общество с ограниченной ответственностью "Альпари-Брокер"</t>
  </si>
  <si>
    <t>1655164523</t>
  </si>
  <si>
    <t>1081690059330</t>
  </si>
  <si>
    <t>125424, г. Москва, Шоссе Волоколамское, д. 73, эт. 4, пом. I, ком. 32-34, оф. 413</t>
  </si>
  <si>
    <t>(495) 646-10-63</t>
  </si>
  <si>
    <t>045-12915-100000</t>
  </si>
  <si>
    <t>11.02.2010</t>
  </si>
  <si>
    <t>http://www.alpari-broker.ru/</t>
  </si>
  <si>
    <t>Общество с ограниченной ответственностью "ИК ВЕЛЕС Капитал"</t>
  </si>
  <si>
    <t>7709303960</t>
  </si>
  <si>
    <t>1027700098150</t>
  </si>
  <si>
    <t>123610, г. Москва, Краснопресненская набережная, д. 12, подъезд 7, 18 этаж</t>
  </si>
  <si>
    <t>(495) 258-19-88</t>
  </si>
  <si>
    <t>077-06527-100000</t>
  </si>
  <si>
    <t>14.10.2003</t>
  </si>
  <si>
    <t>www.veles-capital.ru</t>
  </si>
  <si>
    <t>Акционерное общество "Инвестиционная компания "Газинвест"</t>
  </si>
  <si>
    <t>6314012819</t>
  </si>
  <si>
    <t>1026300898183</t>
  </si>
  <si>
    <t>443100, Самарская область, г. Самара, область Самарская, город Самара, улица Лесная, дом 5</t>
  </si>
  <si>
    <t>8(846)990-22-80</t>
  </si>
  <si>
    <t>036-06230-100000</t>
  </si>
  <si>
    <t>09.09.2003</t>
  </si>
  <si>
    <t>www.gasinv.ru</t>
  </si>
  <si>
    <t>ООО "Камкомбанк"</t>
  </si>
  <si>
    <t>Респ. Татарстан, г. Набережные Челны, ул. Гидростроителей, д. 21</t>
  </si>
  <si>
    <t>8 800 2000 438</t>
  </si>
  <si>
    <t>№ 438</t>
  </si>
  <si>
    <t>28. 12. 2018г</t>
  </si>
  <si>
    <t>https://www.kamkombank.ru/</t>
  </si>
  <si>
    <t>Акционерное общество "БКС Банк"</t>
  </si>
  <si>
    <t>5460000016</t>
  </si>
  <si>
    <t>1055400000369</t>
  </si>
  <si>
    <t>129110, г. Москва, пр-кт Мира, д. 69, стр. 1</t>
  </si>
  <si>
    <t>+7 (383) 230-02-02</t>
  </si>
  <si>
    <t>045-13349-100000</t>
  </si>
  <si>
    <t>14.10.2010</t>
  </si>
  <si>
    <t>www.broker.ru</t>
  </si>
  <si>
    <t>Общество с ограниченной ответственностью "Меррилл Линч Секьюритиз"</t>
  </si>
  <si>
    <t>7703622255</t>
  </si>
  <si>
    <t>1077746005666</t>
  </si>
  <si>
    <t>107031, г. Москва, ул. Петровка, д. 7</t>
  </si>
  <si>
    <t>7 (495) 662 6000</t>
  </si>
  <si>
    <t>177-12924-100000</t>
  </si>
  <si>
    <t>25.02.2010</t>
  </si>
  <si>
    <t>https://www.mlsecurities.ru/</t>
  </si>
  <si>
    <t>ООО Дубай</t>
  </si>
  <si>
    <t>386102, Республика Ингушетия, город Назрань, территория Центральный округ, Московская ул., д. 25а</t>
  </si>
  <si>
    <t>7 495 123-34-06</t>
  </si>
  <si>
    <t>ООО "Лэд Лабс"</t>
  </si>
  <si>
    <t>630091, Новосибирская область, г Новосибирск, ул Фрунзе, д. 4, этаж/помещ. 8/3 офис 803</t>
  </si>
  <si>
    <t>https://ladlabs.ru/</t>
  </si>
  <si>
    <t>Wunder fund</t>
  </si>
  <si>
    <t>https://wunderfund.io/</t>
  </si>
  <si>
    <t>Общество с ограниченной ответственностью "Алго Капитал"</t>
  </si>
  <si>
    <t>7714515544</t>
  </si>
  <si>
    <t>1037739891958</t>
  </si>
  <si>
    <t>123290, г. Москва, ул. 2-я Магистральная, д. 8А, стр. 3</t>
  </si>
  <si>
    <t>8 (495) 544-41-87</t>
  </si>
  <si>
    <t>045-09617-100000</t>
  </si>
  <si>
    <t>02.11.2006</t>
  </si>
  <si>
    <t>https://algocapital.ru/</t>
  </si>
  <si>
    <t>Общество с ограниченной ответственностью "Юнайтэд Кэпитал Партнерс Эдвайзори"</t>
  </si>
  <si>
    <t>7705772834</t>
  </si>
  <si>
    <t>1077746002894</t>
  </si>
  <si>
    <t>115054, г. Москва, Павелецкая площадь, д. 2, стр. 2, этаж 22</t>
  </si>
  <si>
    <t>+7 (495) 643-11-00</t>
  </si>
  <si>
    <t>077-13802-100000</t>
  </si>
  <si>
    <t>03.10.2013</t>
  </si>
  <si>
    <t>www.ucpadvisory.ru</t>
  </si>
  <si>
    <t>ООО «Кселиус трейдинг»</t>
  </si>
  <si>
    <t>115054, город Москва, Дубининская ул, д. 57 стр. 1, офис 303</t>
  </si>
  <si>
    <t>7 499 877-40-84</t>
  </si>
  <si>
    <t>https://xelius.pro/</t>
  </si>
  <si>
    <t xml:space="preserve">Ассоциация "НП РТС" </t>
  </si>
  <si>
    <t>Российская Федерация, 127006, город Москва,</t>
  </si>
  <si>
    <t>7 (495) 899-01-70</t>
  </si>
  <si>
    <t>nprts.ru</t>
  </si>
  <si>
    <t>ЦЕРИХ Кэпитал Менеджмент, Инвестиционная компания</t>
  </si>
  <si>
    <t>119034,г. Москва, пер. Всеволожский, д. 2 стр. 2</t>
  </si>
  <si>
    <t>(495) 3330580</t>
  </si>
  <si>
    <t>https://www.zerich.com/</t>
  </si>
  <si>
    <t>Акционерное общество "Банк Кредит Свисс (Москва)"</t>
  </si>
  <si>
    <t>7703122887</t>
  </si>
  <si>
    <t>125047, г. Москва, ул. 1-я Тверская-Ямская, д. 21</t>
  </si>
  <si>
    <t>045-02972-100000</t>
  </si>
  <si>
    <t>27.11.2000</t>
  </si>
  <si>
    <t>http://www.bank-credit-suisse-moscow.ru</t>
  </si>
  <si>
    <t>Акционерное общество "Инвестиционная компания "ФИНАМ"</t>
  </si>
  <si>
    <t>7731038186</t>
  </si>
  <si>
    <t>1027739572343</t>
  </si>
  <si>
    <t>+7(495) 796-93-88</t>
  </si>
  <si>
    <t>177-02739-100000</t>
  </si>
  <si>
    <t>09.11.2000</t>
  </si>
  <si>
    <t>www.finam.ru</t>
  </si>
  <si>
    <t>Общество с ограниченной ответственностью «МКБ Инвестиции»</t>
  </si>
  <si>
    <t>7725639693</t>
  </si>
  <si>
    <t>1087746714593</t>
  </si>
  <si>
    <t>123112, г. Москва, ВН.ТЕР.Г. МУНИЦИПАЛЬНЫЙ ОКРУГ ПРЕСНЕНСКИЙ, ПРОЕЗД 1-Й КРАСНОГВАРДЕЙСКИЙ, Д. 22 СТР. 1, ЭТАЖ 18</t>
  </si>
  <si>
    <t>+7 (495) 241-30-26</t>
  </si>
  <si>
    <t>045-11561-100000</t>
  </si>
  <si>
    <t>16.09.2008</t>
  </si>
  <si>
    <t>https://mkb-broker.ru/</t>
  </si>
  <si>
    <t>Акционерное общество "Открытие Брокер"</t>
  </si>
  <si>
    <t>7710170659</t>
  </si>
  <si>
    <t>1027739704772</t>
  </si>
  <si>
    <t>115114, г. Москва, ул. Летниковская, д.2 стр.4.</t>
  </si>
  <si>
    <t>+7 (495) 777-56-56</t>
  </si>
  <si>
    <t>045-06097-100000</t>
  </si>
  <si>
    <t>28.06.2002</t>
  </si>
  <si>
    <t>www.open-broker.ru</t>
  </si>
  <si>
    <t>Акционерное общество "ОТП Банк"</t>
  </si>
  <si>
    <t>7708001614</t>
  </si>
  <si>
    <t>1027739176563</t>
  </si>
  <si>
    <t>125171, г. Москва, Ленинградское шоссе, д. 16А, стр. 2</t>
  </si>
  <si>
    <t>+7 (495) 775-47-75</t>
  </si>
  <si>
    <t>177-03494-100000</t>
  </si>
  <si>
    <t>07.12.2000</t>
  </si>
  <si>
    <t>www.otpbank.ru</t>
  </si>
  <si>
    <t>Акционерное общество "Сбербанк КИБ"</t>
  </si>
  <si>
    <t>7710048970</t>
  </si>
  <si>
    <t>1027739007768</t>
  </si>
  <si>
    <t>117312, г. Москва, ул. Вавилова, д. 19</t>
  </si>
  <si>
    <t>+7 (495) 665-56-00</t>
  </si>
  <si>
    <t>045-06514-100000</t>
  </si>
  <si>
    <t>08.04.2003</t>
  </si>
  <si>
    <t>www.sbrf-cib.ru</t>
  </si>
  <si>
    <t>Акционерное общество "Райффайзенбанк"</t>
  </si>
  <si>
    <t>7744000302</t>
  </si>
  <si>
    <t>1027739326449</t>
  </si>
  <si>
    <t>119002, г. Москва, Смоленская-Сенная площадь, дом 28</t>
  </si>
  <si>
    <t>+7 (495) 721-13-32</t>
  </si>
  <si>
    <t>177-02900-100000</t>
  </si>
  <si>
    <t>https://www.raiffeisen-capital.ru/</t>
  </si>
  <si>
    <t>Общество с ограниченной ответственностью "Ренессанс Брокер"</t>
  </si>
  <si>
    <t>7709258228</t>
  </si>
  <si>
    <t>1027739121981</t>
  </si>
  <si>
    <t>123112, г. Москва, вн. тер .г. муниципальный округ Пресненский, наб. Пресненская, д. 10, Блок С, этаж 50</t>
  </si>
  <si>
    <t>+7 (495) 258-77-77</t>
  </si>
  <si>
    <t>177-06459-100000</t>
  </si>
  <si>
    <t>07.03.2003</t>
  </si>
  <si>
    <t>renbroker.ru</t>
  </si>
  <si>
    <t>Акционерное общество коммерческий банк "Ситибанк"</t>
  </si>
  <si>
    <t>7710401987</t>
  </si>
  <si>
    <t>1027700431296</t>
  </si>
  <si>
    <t>125047, г. Москва, ул.Гашека, 8-10, стр. 1</t>
  </si>
  <si>
    <t>+7 (495) 725-10-00</t>
  </si>
  <si>
    <t>045-02738-100000</t>
  </si>
  <si>
    <t>https://www.citibank.ru/</t>
  </si>
  <si>
    <t>ООО "Ю Би Эс Банк"</t>
  </si>
  <si>
    <t>г. Москва, Павелецкая пл., Д.2, К.2</t>
  </si>
  <si>
    <t>8 (495) 726-57-00</t>
  </si>
  <si>
    <t>www.ooo-ubs-bank.com</t>
  </si>
  <si>
    <t>ООО МКК «Норд капитал»</t>
  </si>
  <si>
    <t>183038, Мурманская область, г. Мурманск, пр-т Ленина, д. 47, оф. 309</t>
  </si>
  <si>
    <t>00-16-031-47-007802</t>
  </si>
  <si>
    <t>https://murmandengi.ru/</t>
  </si>
  <si>
    <t>АКЦИОНЕРНЫЙ КОММЕРЧЕСКИЙ БАНК "МЕТАЛЛУРГИЧЕСКИЙ ИНВЕСТИЦИОННЫЙ БАНК" (ПУБЛИЧНОЕ АКЦИОНЕРНОЕ ОБЩЕСТВО)</t>
  </si>
  <si>
    <t>7709138570</t>
  </si>
  <si>
    <t>1027700218666</t>
  </si>
  <si>
    <t>119180, г. Москва, ул. Большая Полянка, д. 47, строение 2</t>
  </si>
  <si>
    <t>+7 (495) 727-97-97; 8-800-250-97-97</t>
  </si>
  <si>
    <t>http://www.metallinvestbank.ru/</t>
  </si>
  <si>
    <t>Санкт-Петербургский банк инвестиций (акционерное общество)</t>
  </si>
  <si>
    <t>7835903703</t>
  </si>
  <si>
    <t>1077800000167</t>
  </si>
  <si>
    <t>197101, г. Санкт-Петербург, ул. Большая Монетная, д. 16, корп. 30, лит. А</t>
  </si>
  <si>
    <t>тел: 8 (812) 611-15-40</t>
  </si>
  <si>
    <t>040-13572-100000</t>
  </si>
  <si>
    <t>24.05.2011</t>
  </si>
  <si>
    <t>info@sbionline.ru</t>
  </si>
  <si>
    <t>ООО "ИФК "Созвездие"</t>
  </si>
  <si>
    <t>г. Москва, ул. Обручева, д. 34/63 стр. 2</t>
  </si>
  <si>
    <t>https://quantstellation.com/</t>
  </si>
  <si>
    <t>АКБ "НРБанк" (АО)</t>
  </si>
  <si>
    <t>117292, г. Москва, просп. 60-летия Октября, 10 А</t>
  </si>
  <si>
    <t>7(495)213-32-20</t>
  </si>
  <si>
    <t>http://en.nrb.ru</t>
  </si>
  <si>
    <t>НКО НКЦ (АО)</t>
  </si>
  <si>
    <t>125009, г. Москва, Большой Кисловский переулок, д. 13</t>
  </si>
  <si>
    <t>(495) 782 9794; (495) 363 3232</t>
  </si>
  <si>
    <t>3466-ЦК</t>
  </si>
  <si>
    <t>https://www.nationalclearingcentre.ru/</t>
  </si>
  <si>
    <t>Акционерный Коммерческий Банк «НОВИКОМБАНК» акционерное общество</t>
  </si>
  <si>
    <t>7706196340</t>
  </si>
  <si>
    <t>1027739075891</t>
  </si>
  <si>
    <t>119180, г. Москва, ул. Полянка Большая, д. 50/1, стр. 1</t>
  </si>
  <si>
    <t>+7 (495) 974-71-87</t>
  </si>
  <si>
    <t>177-06439-100000</t>
  </si>
  <si>
    <t>25.02.2003</t>
  </si>
  <si>
    <t>www.novikom.ru</t>
  </si>
  <si>
    <t>Акционерное общество "Октан-Брокер"</t>
  </si>
  <si>
    <t>1025500515776</t>
  </si>
  <si>
    <t>644033, Омская область, г. Омск, улица Красный Путь, дом 109, офис 510</t>
  </si>
  <si>
    <t>+7 (3812) 29-00-92</t>
  </si>
  <si>
    <t>052-04219-100000</t>
  </si>
  <si>
    <t>27.12.2000</t>
  </si>
  <si>
    <t>www.octan.ru</t>
  </si>
  <si>
    <t>Общество с ограниченной ответственностью "ГО ИНВЕСТ"</t>
  </si>
  <si>
    <t>9725079692</t>
  </si>
  <si>
    <t>1227700188385</t>
  </si>
  <si>
    <t>125375, г. Москва, вн. тер. г. муниципальный округ Тверской, б-р Тверской, д. 26, этаж 3, помещ. I, ком. 1</t>
  </si>
  <si>
    <t>+74957835181</t>
  </si>
  <si>
    <t>045-14130-100000</t>
  </si>
  <si>
    <t>15.04.2022</t>
  </si>
  <si>
    <t>www.goinvest.ru</t>
  </si>
  <si>
    <t>Публичное акционерное общество "БАНК УРАЛСИБ"</t>
  </si>
  <si>
    <t>0274062111</t>
  </si>
  <si>
    <t>1020280000190</t>
  </si>
  <si>
    <t>119048, г. Москва, ул. Ефремова, д. 8</t>
  </si>
  <si>
    <t>8 (495) 723-77-77, 8 (800) 250-57-57</t>
  </si>
  <si>
    <t>045-06461-100000</t>
  </si>
  <si>
    <t>www.uralsibbroker.ru</t>
  </si>
  <si>
    <t>Общество с ограниченной ответственностью Брокерская компания Платформа</t>
  </si>
  <si>
    <t>7702668793</t>
  </si>
  <si>
    <t>1087746377113</t>
  </si>
  <si>
    <t>123112, г. Москва, вн. тер. г. муниципальный округ Пресненский, Пресненская Набережная, д. 10, стр. 1, этаж 39, помещ. I</t>
  </si>
  <si>
    <t>8 (495) 380-07-93, 8 (495) 380-07-94, 8 (495) 380-07-95</t>
  </si>
  <si>
    <t>045-12014-100000</t>
  </si>
  <si>
    <t>10.02.2009</t>
  </si>
  <si>
    <t>https://www.wimplatform.ru</t>
  </si>
  <si>
    <t>Публичное акционерное общество "СПБ Банк"</t>
  </si>
  <si>
    <t>7831000034</t>
  </si>
  <si>
    <t>1037700041323</t>
  </si>
  <si>
    <t>127006, г. Москва, ул. Долгоруковская, д. 38, стр. 1</t>
  </si>
  <si>
    <t>(495) 899-01-70,(499) 973-23-29</t>
  </si>
  <si>
    <t>077-13817-100000</t>
  </si>
  <si>
    <t>18.11.2013</t>
  </si>
  <si>
    <t>http://www.spbbank.ru/</t>
  </si>
  <si>
    <t>Публичное акционерное общество Банк Синара</t>
  </si>
  <si>
    <t>6608003052</t>
  </si>
  <si>
    <t>1026600000460</t>
  </si>
  <si>
    <t>620026, Свердловская область, г. Екатеринбург, ул. Куйбышева, 75</t>
  </si>
  <si>
    <t>8 (343) 355-75-75 8 (800) 1000-600</t>
  </si>
  <si>
    <t>065-08840-100000</t>
  </si>
  <si>
    <t>12.01.2006</t>
  </si>
  <si>
    <t>www.sinara.ru</t>
  </si>
  <si>
    <t>Акционерное общество "Инвестиционная компания "Питер Траст"</t>
  </si>
  <si>
    <t>7842350721</t>
  </si>
  <si>
    <t>1079847061150</t>
  </si>
  <si>
    <t>191186, г. Санкт-Петербург, наб. р. Мойки, д. 11, Лит. А, пом. 16Н</t>
  </si>
  <si>
    <t>(812)336-65-86 (812) 313-01-31</t>
  </si>
  <si>
    <t>040-10901-100000</t>
  </si>
  <si>
    <t>27.12.2007</t>
  </si>
  <si>
    <t>piter-trust.ru</t>
  </si>
  <si>
    <t>Общество с ограниченной ответственностью "Брокерская компания "РЕГИОН"</t>
  </si>
  <si>
    <t>7708207809</t>
  </si>
  <si>
    <t>1027708015576</t>
  </si>
  <si>
    <t>123112, г. Москва, 1-й Красногвардейский проезд, д. 22, стр. 1, этаж 21, помещ. А21 ком. 43</t>
  </si>
  <si>
    <t>(495) 777-29-64</t>
  </si>
  <si>
    <t>045-08969-100000</t>
  </si>
  <si>
    <t>28.02.2006</t>
  </si>
  <si>
    <t>region.broker</t>
  </si>
  <si>
    <t>Акционерное общество "Инвестиционная компания "РИКОМ-ТРАСТ"</t>
  </si>
  <si>
    <t>7701033078</t>
  </si>
  <si>
    <t>1027739075165</t>
  </si>
  <si>
    <t>121099, г. Москва, Проточный пер., д.6</t>
  </si>
  <si>
    <t>+7 499-241-53-07</t>
  </si>
  <si>
    <t>045-06122-100000</t>
  </si>
  <si>
    <t>26.08.2003</t>
  </si>
  <si>
    <t>www.ricom.ru</t>
  </si>
  <si>
    <t>Публичное акционерное общество "ИНВЕСТИЦИОННАЯ КОМПАНИЯ ИК РУСС-ИНВЕСТ"</t>
  </si>
  <si>
    <t>7704081545</t>
  </si>
  <si>
    <t>1027739662796</t>
  </si>
  <si>
    <t>119034, г. Москва, Всеволожский пер., д.2, стр.2</t>
  </si>
  <si>
    <t>(495) 363-93-80</t>
  </si>
  <si>
    <t>045-06310-100000</t>
  </si>
  <si>
    <t>10.12.2002</t>
  </si>
  <si>
    <t>"СДМ-Банк" (публичное акционерное общество)</t>
  </si>
  <si>
    <t>7733043350</t>
  </si>
  <si>
    <t>1027739296584</t>
  </si>
  <si>
    <t>125424, г. Москва, Волоколамское шоссе, 73</t>
  </si>
  <si>
    <t>8 (495) 705-90-90</t>
  </si>
  <si>
    <t>177-02963-100000</t>
  </si>
  <si>
    <t>www.sdm.ru</t>
  </si>
  <si>
    <t>ПАО "Совкомбанк"</t>
  </si>
  <si>
    <t>156000, Костромская область, г. Кострома, проспект Текстильщиков, д. 46</t>
  </si>
  <si>
    <t>8(800)100-00-06</t>
  </si>
  <si>
    <t>www.sovcombank.ru</t>
  </si>
  <si>
    <t>Акционерное общество Инвестиционно - финансовая компания «Солид»</t>
  </si>
  <si>
    <t>5008009854</t>
  </si>
  <si>
    <t>1027739045839</t>
  </si>
  <si>
    <t>123007, г. Москва, Хорошевское ш., д. 32А, комната 14</t>
  </si>
  <si>
    <t>8 (495) 228-70-10</t>
  </si>
  <si>
    <t>045-06790-100000</t>
  </si>
  <si>
    <t>24.06.2003</t>
  </si>
  <si>
    <t>solidbroker.ru</t>
  </si>
  <si>
    <t>Банк СОЮЗ (акционерное общество)</t>
  </si>
  <si>
    <t>7714056040</t>
  </si>
  <si>
    <t>1027739447922</t>
  </si>
  <si>
    <t>127055, г. Москва, ул. Сущевская, д. 27, стр. 1</t>
  </si>
  <si>
    <t>+7 (495) 729-55-55</t>
  </si>
  <si>
    <t>177-06756-100000</t>
  </si>
  <si>
    <t>17.06.2003</t>
  </si>
  <si>
    <t>www.banksoyuz.ru</t>
  </si>
  <si>
    <t>Акционерное общество "Тольяттихимбанк"</t>
  </si>
  <si>
    <t>6320007246</t>
  </si>
  <si>
    <t>1026300001881</t>
  </si>
  <si>
    <t>445009, Самарская область, г. Тольятти, ул.Горького, 96</t>
  </si>
  <si>
    <t>8 (8482) 71-81-75</t>
  </si>
  <si>
    <t>036-03496-100000</t>
  </si>
  <si>
    <t>www.thbank.ru</t>
  </si>
  <si>
    <t>ПАО КБ "УБРиР"</t>
  </si>
  <si>
    <t>127015, г. Москва, ул. Правды, д. 23</t>
  </si>
  <si>
    <t>7 (343) 264-55-60</t>
  </si>
  <si>
    <t>045-13970-000001</t>
  </si>
  <si>
    <t>www.ubrr.ru</t>
  </si>
  <si>
    <t>https://www.uralsib.ru/</t>
  </si>
  <si>
    <t>Акционерное общество "Банк Финсервис"</t>
  </si>
  <si>
    <t>7750004270</t>
  </si>
  <si>
    <t>1087711000013</t>
  </si>
  <si>
    <t>121151, г. Москва, Набережная Тараса Шевченко, дом 23 А, 2 этаж, пом. 1, ком. № 1</t>
  </si>
  <si>
    <t>077-08558-100000</t>
  </si>
  <si>
    <t>02.08.2005</t>
  </si>
  <si>
    <t>www.finsb.ru</t>
  </si>
  <si>
    <t>Общество с ограниченной ответственностью Инвестиционная компания «Фридом Финанс»</t>
  </si>
  <si>
    <t>7705934210</t>
  </si>
  <si>
    <t>1107746963785</t>
  </si>
  <si>
    <t>123112, г. Москва, ул.1-й Красногвардейский проезд, д.15 офис 18.02</t>
  </si>
  <si>
    <t>8 (495) 783-91-73</t>
  </si>
  <si>
    <t>045-13561-100000</t>
  </si>
  <si>
    <t>19.05.2011</t>
  </si>
  <si>
    <r>
      <rPr>
        <rFont val="&quot;Google Sans&quot;, Roboto, sans-serif"/>
        <color rgb="FF1F1F1F"/>
        <sz val="9.0"/>
      </rPr>
      <t xml:space="preserve">cifra-broker.ru; </t>
    </r>
    <r>
      <rPr>
        <rFont val="&quot;Google Sans&quot;, Roboto, sans-serif"/>
        <color rgb="FF1155CC"/>
        <sz val="9.0"/>
        <u/>
      </rPr>
      <t>old.cifra-broker.ru</t>
    </r>
  </si>
  <si>
    <t>Акционерное общество "Экспобанк"</t>
  </si>
  <si>
    <t>7708397772</t>
  </si>
  <si>
    <t>1217700369083</t>
  </si>
  <si>
    <t>107078, г. Москва, ул. Каланчевская, д.29, стр.2</t>
  </si>
  <si>
    <t>8 (495) 228-31-31</t>
  </si>
  <si>
    <t>177-02958-100000</t>
  </si>
  <si>
    <t>www.expobank.ru</t>
  </si>
  <si>
    <t>ООО "АТОН"</t>
  </si>
  <si>
    <t>7702015515</t>
  </si>
  <si>
    <t>1027739583200</t>
  </si>
  <si>
    <t>115035, г. Москва, Овчинниковская набережная, дом 20, строение 1, этаж 11, офис № 39</t>
  </si>
  <si>
    <t>+7 (495) 777-90-90</t>
  </si>
  <si>
    <t>177-02896-100000</t>
  </si>
  <si>
    <t>www.aton.ru</t>
  </si>
  <si>
    <t>"Акционерный коммерческий банк "Держава" публичное акционерное общество"</t>
  </si>
  <si>
    <t>7729003482</t>
  </si>
  <si>
    <t>1027739120199</t>
  </si>
  <si>
    <t>119435, г. Москва, Большой Саввинский переулок, д. 2, стр. 9</t>
  </si>
  <si>
    <t>(495) 380-04-70,(495) 380-04-71,(495) 380-04-72,(495) 380-04-80</t>
  </si>
  <si>
    <t>077-03808-100000</t>
  </si>
  <si>
    <t>13.12.2000</t>
  </si>
  <si>
    <t>www.derzhava.ru</t>
  </si>
  <si>
    <t>Quantum Brains</t>
  </si>
  <si>
    <t>https://quantumbrains.com/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</si>
</sst>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 mmmm yyyy"/>
    <numFmt numFmtId="166" formatCode="dd.mm.yyyy."/>
    <numFmt numFmtId="167" formatCode="d.m.yyyy"/>
  </numFmts>
  <fonts count="48">
    <font>
      <sz val="10.0"/>
      <color rgb="FF000000"/>
      <name val="Arial"/>
      <scheme val="minor"/>
    </font>
    <font>
      <b/>
      <color theme="1"/>
      <name val="Arial"/>
    </font>
    <font>
      <color theme="1"/>
      <name val="Calibri"/>
    </font>
    <font>
      <sz val="10.0"/>
      <color theme="1"/>
      <name val="Arial"/>
    </font>
    <font>
      <u/>
      <sz val="10.0"/>
      <color rgb="FF0000FF"/>
      <name val="Arial"/>
    </font>
    <font>
      <sz val="10.0"/>
      <color theme="1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u/>
      <sz val="9.0"/>
      <color rgb="FF1F1F1F"/>
      <name val="&quot;Google Sans&quot;"/>
    </font>
    <font>
      <u/>
      <sz val="10.0"/>
      <color rgb="FF1F1F1F"/>
      <name val="&quot;Google Sans&quot;"/>
    </font>
    <font>
      <sz val="10.0"/>
      <color rgb="FF333333"/>
      <name val="Arial"/>
    </font>
    <font>
      <sz val="10.0"/>
      <color rgb="FF040C28"/>
      <name val="&quot;Google Sans&quot;"/>
    </font>
    <font>
      <sz val="10.0"/>
      <color rgb="FF35383B"/>
      <name val="Rubik"/>
    </font>
    <font>
      <sz val="10.0"/>
      <color rgb="FF000000"/>
      <name val="Proximanovareg"/>
    </font>
    <font>
      <sz val="10.0"/>
      <color rgb="FF000000"/>
      <name val="Proximanovalight"/>
    </font>
    <font>
      <sz val="10.0"/>
      <color rgb="FF333333"/>
      <name val="&quot;InterFace Corp&quot;"/>
    </font>
    <font>
      <u/>
      <sz val="10.0"/>
      <color rgb="FF000000"/>
      <name val="&quot;Google Sans&quot;"/>
    </font>
    <font>
      <sz val="10.0"/>
      <color theme="1"/>
      <name val="Arial"/>
      <scheme val="minor"/>
    </font>
    <font>
      <sz val="10.0"/>
      <color rgb="FF000000"/>
      <name val="Rubik"/>
    </font>
    <font>
      <sz val="10.0"/>
      <color rgb="FF666666"/>
      <name val="Arial"/>
    </font>
    <font>
      <sz val="10.0"/>
      <color rgb="FF666666"/>
      <name val="TensorFont"/>
    </font>
    <font>
      <sz val="10.0"/>
      <color rgb="FF000000"/>
      <name val="DsHeading"/>
    </font>
    <font>
      <u/>
      <sz val="10.0"/>
      <color rgb="FF000000"/>
      <name val="&quot;Google Sans&quot;"/>
    </font>
    <font>
      <i/>
      <sz val="10.0"/>
      <color theme="1"/>
      <name val="Arial"/>
    </font>
    <font>
      <sz val="10.0"/>
      <color rgb="FF111111"/>
      <name val="-apple-system"/>
    </font>
    <font>
      <sz val="10.0"/>
      <color rgb="FF202124"/>
      <name val="Arial"/>
    </font>
    <font>
      <sz val="10.0"/>
      <color rgb="FF000000"/>
      <name val="Arial"/>
    </font>
    <font>
      <u/>
      <sz val="10.0"/>
      <color rgb="FF1155CC"/>
      <name val="Arial"/>
    </font>
    <font>
      <sz val="10.0"/>
      <color rgb="FF59595C"/>
      <name val="Arial"/>
    </font>
    <font>
      <sz val="10.0"/>
      <color rgb="FF202124"/>
      <name val="&quot;Google Sans&quot;"/>
    </font>
    <font>
      <sz val="10.0"/>
      <color rgb="FF000000"/>
      <name val="TensorFont"/>
    </font>
    <font>
      <sz val="10.0"/>
      <color rgb="FF333333"/>
      <name val="TensorFont"/>
    </font>
    <font>
      <u/>
      <sz val="10.0"/>
      <color rgb="FF333333"/>
      <name val="&quot;InterFace Corp&quot;"/>
    </font>
    <font>
      <sz val="10.0"/>
      <color rgb="FF111214"/>
      <name val="Arial"/>
    </font>
    <font>
      <sz val="10.0"/>
      <color rgb="FF242629"/>
      <name val="PT_Russia-Text"/>
    </font>
    <font>
      <sz val="10.0"/>
      <color rgb="FF2B2E33"/>
      <name val="PTRootUI"/>
    </font>
    <font>
      <sz val="9.0"/>
      <color rgb="FF1F1F1F"/>
      <name val="&quot;Google Sans&quot;"/>
    </font>
    <font>
      <u/>
      <sz val="10.0"/>
      <color rgb="FF1A0DAB"/>
      <name val="Arial"/>
    </font>
    <font>
      <sz val="10.0"/>
      <color rgb="FF000000"/>
      <name val="&quot;Greta Sans Pro&quot;"/>
    </font>
    <font>
      <u/>
      <sz val="10.0"/>
      <color rgb="FF111214"/>
      <name val="PT_Russia-Text"/>
    </font>
    <font>
      <sz val="10.0"/>
      <color rgb="FF000000"/>
      <name val="InterFaceLight"/>
    </font>
    <font>
      <u/>
      <sz val="9.0"/>
      <color rgb="FF1F1F1F"/>
      <name val="&quot;Google Sans&quot;"/>
    </font>
    <font>
      <sz val="10.0"/>
      <color rgb="FF000000"/>
      <name val="PT_Russia-Text"/>
    </font>
    <font>
      <sz val="10.0"/>
      <color theme="1"/>
      <name val="Roboto"/>
    </font>
    <font>
      <sz val="10.0"/>
      <color rgb="FF111214"/>
      <name val="Stem"/>
    </font>
    <font>
      <sz val="9.0"/>
      <color theme="1"/>
      <name val="Calibri"/>
    </font>
    <font>
      <u/>
      <sz val="10.0"/>
      <color rgb="FF0000FF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F1F2F3"/>
        <bgColor rgb="FFF1F2F3"/>
      </patternFill>
    </fill>
    <fill>
      <patternFill patternType="solid">
        <fgColor rgb="FFD4D4D4"/>
        <bgColor rgb="FFD4D4D4"/>
      </patternFill>
    </fill>
    <fill>
      <patternFill patternType="solid">
        <fgColor rgb="FFF9F9F9"/>
        <bgColor rgb="FFF9F9F9"/>
      </patternFill>
    </fill>
    <fill>
      <patternFill patternType="solid">
        <fgColor rgb="FFEEF1F6"/>
        <bgColor rgb="FFEEF1F6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999999"/>
      </left>
      <right style="hair">
        <color rgb="FF999999"/>
      </right>
      <top style="hair">
        <color rgb="FF999999"/>
      </top>
    </border>
    <border>
      <left style="thin">
        <color rgb="FFE6E8EB"/>
      </left>
      <right style="thin">
        <color rgb="FFE6E8EB"/>
      </right>
      <top style="thin">
        <color rgb="FFE6E8EB"/>
      </top>
      <bottom style="thin">
        <color rgb="FFE6E8EB"/>
      </bottom>
    </border>
    <border>
      <bottom style="thin">
        <color rgb="FFE8E9EB"/>
      </bottom>
    </border>
    <border>
      <bottom style="thin">
        <color rgb="FFDADCE0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vertical="bottom"/>
    </xf>
    <xf borderId="3" fillId="0" fontId="3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horizontal="center" vertical="bottom"/>
    </xf>
    <xf borderId="1" fillId="0" fontId="3" numFmtId="0" xfId="0" applyAlignment="1" applyBorder="1" applyFont="1">
      <alignment horizontal="center" readingOrder="0" shrinkToFit="0" wrapText="1"/>
    </xf>
    <xf borderId="2" fillId="0" fontId="6" numFmtId="0" xfId="0" applyAlignment="1" applyBorder="1" applyFont="1">
      <alignment horizontal="center" readingOrder="0" shrinkToFit="0" wrapText="1"/>
    </xf>
    <xf borderId="2" fillId="0" fontId="7" numFmtId="0" xfId="0" applyAlignment="1" applyBorder="1" applyFont="1">
      <alignment horizontal="center" shrinkToFit="0" wrapText="1"/>
    </xf>
    <xf borderId="0" fillId="3" fontId="8" numFmtId="0" xfId="0" applyAlignment="1" applyFill="1" applyFont="1">
      <alignment readingOrder="0"/>
    </xf>
    <xf borderId="0" fillId="3" fontId="9" numFmtId="0" xfId="0" applyAlignment="1" applyFont="1">
      <alignment readingOrder="0"/>
    </xf>
    <xf borderId="5" fillId="4" fontId="10" numFmtId="0" xfId="0" applyAlignment="1" applyBorder="1" applyFill="1" applyFont="1">
      <alignment horizontal="center" readingOrder="0" vertical="top"/>
    </xf>
    <xf borderId="0" fillId="3" fontId="11" numFmtId="0" xfId="0" applyAlignment="1" applyFont="1">
      <alignment horizontal="center" readingOrder="0"/>
    </xf>
    <xf borderId="0" fillId="5" fontId="12" numFmtId="0" xfId="0" applyAlignment="1" applyFill="1" applyFont="1">
      <alignment horizontal="center" readingOrder="0" shrinkToFit="0" wrapText="0"/>
    </xf>
    <xf borderId="2" fillId="0" fontId="3" numFmtId="0" xfId="0" applyAlignment="1" applyBorder="1" applyFont="1">
      <alignment horizontal="center" readingOrder="0" shrinkToFit="0" wrapText="1"/>
    </xf>
    <xf borderId="0" fillId="6" fontId="13" numFmtId="0" xfId="0" applyAlignment="1" applyFill="1" applyFont="1">
      <alignment horizontal="center" readingOrder="0"/>
    </xf>
    <xf borderId="0" fillId="6" fontId="14" numFmtId="0" xfId="0" applyAlignment="1" applyFont="1">
      <alignment horizontal="center" readingOrder="0"/>
    </xf>
    <xf borderId="5" fillId="4" fontId="15" numFmtId="0" xfId="0" applyAlignment="1" applyBorder="1" applyFont="1">
      <alignment horizontal="center" vertical="top"/>
    </xf>
    <xf borderId="0" fillId="0" fontId="16" numFmtId="0" xfId="0" applyAlignment="1" applyFont="1">
      <alignment readingOrder="0"/>
    </xf>
    <xf borderId="0" fillId="0" fontId="17" numFmtId="0" xfId="0" applyAlignment="1" applyFont="1">
      <alignment horizontal="center"/>
    </xf>
    <xf borderId="0" fillId="0" fontId="17" numFmtId="0" xfId="0" applyAlignment="1" applyFont="1">
      <alignment horizontal="center" readingOrder="0"/>
    </xf>
    <xf borderId="0" fillId="5" fontId="18" numFmtId="0" xfId="0" applyAlignment="1" applyFont="1">
      <alignment horizontal="center" readingOrder="0" shrinkToFit="0" vertical="top" wrapText="0"/>
    </xf>
    <xf borderId="0" fillId="5" fontId="12" numFmtId="0" xfId="0" applyAlignment="1" applyFont="1">
      <alignment horizontal="center" readingOrder="0"/>
    </xf>
    <xf borderId="0" fillId="7" fontId="19" numFmtId="0" xfId="0" applyAlignment="1" applyFill="1" applyFont="1">
      <alignment horizontal="center" readingOrder="0"/>
    </xf>
    <xf borderId="0" fillId="7" fontId="20" numFmtId="0" xfId="0" applyAlignment="1" applyFont="1">
      <alignment horizontal="center"/>
    </xf>
    <xf borderId="5" fillId="3" fontId="15" numFmtId="0" xfId="0" applyAlignment="1" applyBorder="1" applyFont="1">
      <alignment horizontal="center" vertical="top"/>
    </xf>
    <xf borderId="0" fillId="0" fontId="21" numFmtId="164" xfId="0" applyAlignment="1" applyFont="1" applyNumberFormat="1">
      <alignment horizontal="center" readingOrder="0"/>
    </xf>
    <xf borderId="0" fillId="0" fontId="22" numFmtId="0" xfId="0" applyAlignment="1" applyFont="1">
      <alignment horizontal="center" readingOrder="0"/>
    </xf>
    <xf borderId="0" fillId="3" fontId="23" numFmtId="0" xfId="0" applyAlignment="1" applyFont="1">
      <alignment horizontal="center" readingOrder="0"/>
    </xf>
    <xf borderId="0" fillId="3" fontId="24" numFmtId="165" xfId="0" applyAlignment="1" applyFont="1" applyNumberFormat="1">
      <alignment horizontal="center" readingOrder="0"/>
    </xf>
    <xf borderId="0" fillId="3" fontId="12" numFmtId="164" xfId="0" applyAlignment="1" applyFont="1" applyNumberFormat="1">
      <alignment horizontal="center" readingOrder="0"/>
    </xf>
    <xf borderId="0" fillId="3" fontId="25" numFmtId="0" xfId="0" applyAlignment="1" applyFont="1">
      <alignment horizontal="center" readingOrder="0"/>
    </xf>
    <xf borderId="6" fillId="3" fontId="26" numFmtId="0" xfId="0" applyAlignment="1" applyBorder="1" applyFont="1">
      <alignment horizontal="center" readingOrder="0"/>
    </xf>
    <xf borderId="0" fillId="3" fontId="26" numFmtId="0" xfId="0" applyAlignment="1" applyFont="1">
      <alignment horizontal="center" readingOrder="0"/>
    </xf>
    <xf borderId="0" fillId="0" fontId="27" numFmtId="0" xfId="0" applyAlignment="1" applyFont="1">
      <alignment horizontal="center" readingOrder="0"/>
    </xf>
    <xf borderId="0" fillId="3" fontId="10" numFmtId="0" xfId="0" applyAlignment="1" applyFont="1">
      <alignment horizontal="center" readingOrder="0"/>
    </xf>
    <xf borderId="0" fillId="3" fontId="28" numFmtId="0" xfId="0" applyAlignment="1" applyFont="1">
      <alignment horizontal="center" readingOrder="0"/>
    </xf>
    <xf borderId="0" fillId="8" fontId="28" numFmtId="0" xfId="0" applyAlignment="1" applyFill="1" applyFont="1">
      <alignment horizontal="center" readingOrder="0"/>
    </xf>
    <xf borderId="0" fillId="3" fontId="28" numFmtId="164" xfId="0" applyAlignment="1" applyFont="1" applyNumberFormat="1">
      <alignment horizontal="center" readingOrder="0"/>
    </xf>
    <xf borderId="0" fillId="3" fontId="26" numFmtId="164" xfId="0" applyAlignment="1" applyFont="1" applyNumberFormat="1">
      <alignment horizontal="center"/>
    </xf>
    <xf borderId="0" fillId="3" fontId="26" numFmtId="0" xfId="0" applyAlignment="1" applyFont="1">
      <alignment horizontal="center"/>
    </xf>
    <xf borderId="0" fillId="3" fontId="28" numFmtId="0" xfId="0" applyAlignment="1" applyFont="1">
      <alignment horizontal="center"/>
    </xf>
    <xf borderId="0" fillId="3" fontId="29" numFmtId="0" xfId="0" applyAlignment="1" applyFont="1">
      <alignment horizontal="center" readingOrder="0"/>
    </xf>
    <xf borderId="0" fillId="3" fontId="30" numFmtId="0" xfId="0" applyAlignment="1" applyFont="1">
      <alignment horizontal="center" readingOrder="0"/>
    </xf>
    <xf borderId="0" fillId="3" fontId="30" numFmtId="0" xfId="0" applyAlignment="1" applyFont="1">
      <alignment horizontal="center" readingOrder="0" shrinkToFit="0" wrapText="0"/>
    </xf>
    <xf borderId="0" fillId="7" fontId="31" numFmtId="164" xfId="0" applyAlignment="1" applyFont="1" applyNumberFormat="1">
      <alignment horizontal="center" readingOrder="0"/>
    </xf>
    <xf borderId="5" fillId="4" fontId="32" numFmtId="0" xfId="0" applyAlignment="1" applyBorder="1" applyFont="1">
      <alignment horizontal="center" readingOrder="0" vertical="top"/>
    </xf>
    <xf borderId="0" fillId="3" fontId="33" numFmtId="0" xfId="0" applyAlignment="1" applyFont="1">
      <alignment horizontal="center" readingOrder="0"/>
    </xf>
    <xf borderId="0" fillId="3" fontId="34" numFmtId="0" xfId="0" applyAlignment="1" applyFont="1">
      <alignment horizontal="center" readingOrder="0"/>
    </xf>
    <xf borderId="7" fillId="4" fontId="35" numFmtId="0" xfId="0" applyAlignment="1" applyBorder="1" applyFont="1">
      <alignment horizontal="center" readingOrder="0" vertical="top"/>
    </xf>
    <xf borderId="7" fillId="4" fontId="35" numFmtId="164" xfId="0" applyAlignment="1" applyBorder="1" applyFont="1" applyNumberFormat="1">
      <alignment horizontal="center" readingOrder="0" vertical="top"/>
    </xf>
    <xf borderId="0" fillId="3" fontId="35" numFmtId="0" xfId="0" applyAlignment="1" applyFont="1">
      <alignment horizontal="center"/>
    </xf>
    <xf borderId="0" fillId="3" fontId="36" numFmtId="0" xfId="0" applyAlignment="1" applyFont="1">
      <alignment readingOrder="0"/>
    </xf>
    <xf borderId="0" fillId="3" fontId="37" numFmtId="0" xfId="0" applyAlignment="1" applyFont="1">
      <alignment horizontal="center" readingOrder="0"/>
    </xf>
    <xf borderId="0" fillId="0" fontId="38" numFmtId="0" xfId="0" applyAlignment="1" applyFont="1">
      <alignment horizontal="center" readingOrder="0" vertical="top"/>
    </xf>
    <xf borderId="0" fillId="0" fontId="38" numFmtId="0" xfId="0" applyAlignment="1" applyFont="1">
      <alignment horizontal="center" readingOrder="0"/>
    </xf>
    <xf borderId="0" fillId="0" fontId="38" numFmtId="166" xfId="0" applyAlignment="1" applyFont="1" applyNumberFormat="1">
      <alignment horizontal="center" readingOrder="0"/>
    </xf>
    <xf borderId="0" fillId="3" fontId="34" numFmtId="167" xfId="0" applyAlignment="1" applyFont="1" applyNumberFormat="1">
      <alignment horizontal="center" readingOrder="0"/>
    </xf>
    <xf borderId="0" fillId="3" fontId="39" numFmtId="0" xfId="0" applyAlignment="1" applyFont="1">
      <alignment horizontal="center" readingOrder="0" vertical="top"/>
    </xf>
    <xf borderId="5" fillId="3" fontId="10" numFmtId="0" xfId="0" applyAlignment="1" applyBorder="1" applyFont="1">
      <alignment horizontal="center" readingOrder="0" vertical="top"/>
    </xf>
    <xf borderId="8" fillId="3" fontId="25" numFmtId="0" xfId="0" applyAlignment="1" applyBorder="1" applyFont="1">
      <alignment horizontal="center" readingOrder="0" shrinkToFit="0" wrapText="1"/>
    </xf>
    <xf borderId="0" fillId="3" fontId="40" numFmtId="0" xfId="0" applyAlignment="1" applyFont="1">
      <alignment horizontal="center" readingOrder="0"/>
    </xf>
    <xf borderId="0" fillId="3" fontId="25" numFmtId="165" xfId="0" applyAlignment="1" applyFont="1" applyNumberFormat="1">
      <alignment horizontal="center" readingOrder="0"/>
    </xf>
    <xf borderId="0" fillId="3" fontId="25" numFmtId="0" xfId="0" applyAlignment="1" applyFont="1">
      <alignment horizontal="center"/>
    </xf>
    <xf borderId="0" fillId="3" fontId="41" numFmtId="0" xfId="0" applyAlignment="1" applyFont="1">
      <alignment readingOrder="0"/>
    </xf>
    <xf borderId="0" fillId="3" fontId="42" numFmtId="0" xfId="0" applyAlignment="1" applyFont="1">
      <alignment horizontal="center" readingOrder="0"/>
    </xf>
    <xf borderId="0" fillId="0" fontId="43" numFmtId="0" xfId="0" applyAlignment="1" applyFont="1">
      <alignment horizontal="center" readingOrder="0"/>
    </xf>
    <xf borderId="0" fillId="3" fontId="42" numFmtId="164" xfId="0" applyAlignment="1" applyFont="1" applyNumberFormat="1">
      <alignment horizontal="center" readingOrder="0"/>
    </xf>
    <xf borderId="0" fillId="3" fontId="44" numFmtId="0" xfId="0" applyAlignment="1" applyFont="1">
      <alignment horizontal="center" readingOrder="0"/>
    </xf>
    <xf borderId="0" fillId="3" fontId="26" numFmtId="0" xfId="0" applyAlignment="1" applyFont="1">
      <alignment horizontal="center" readingOrder="0"/>
    </xf>
    <xf borderId="9" fillId="3" fontId="26" numFmtId="0" xfId="0" applyAlignment="1" applyBorder="1" applyFont="1">
      <alignment horizontal="center" readingOrder="0" vertical="top"/>
    </xf>
    <xf borderId="0" fillId="3" fontId="26" numFmtId="164" xfId="0" applyAlignment="1" applyFont="1" applyNumberFormat="1">
      <alignment horizontal="center" readingOrder="0"/>
    </xf>
    <xf borderId="0" fillId="3" fontId="26" numFmtId="0" xfId="0" applyAlignment="1" applyFont="1">
      <alignment horizontal="center"/>
    </xf>
    <xf borderId="2" fillId="3" fontId="3" numFmtId="0" xfId="0" applyAlignment="1" applyBorder="1" applyFont="1">
      <alignment horizontal="center" readingOrder="0" shrinkToFit="0" wrapText="1"/>
    </xf>
    <xf borderId="2" fillId="0" fontId="3" numFmtId="164" xfId="0" applyAlignment="1" applyBorder="1" applyFont="1" applyNumberFormat="1">
      <alignment horizontal="center" shrinkToFit="0" wrapText="1"/>
    </xf>
    <xf borderId="0" fillId="0" fontId="45" numFmtId="0" xfId="0" applyAlignment="1" applyFont="1">
      <alignment vertical="bottom"/>
    </xf>
    <xf borderId="0" fillId="0" fontId="46" numFmtId="0" xfId="0" applyAlignment="1" applyFont="1">
      <alignment horizontal="center" readingOrder="0"/>
    </xf>
    <xf borderId="0" fillId="0" fontId="4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spbbank.ru/" TargetMode="External"/><Relationship Id="rId42" Type="http://schemas.openxmlformats.org/officeDocument/2006/relationships/hyperlink" Target="http://piter-trust.ru/" TargetMode="External"/><Relationship Id="rId41" Type="http://schemas.openxmlformats.org/officeDocument/2006/relationships/hyperlink" Target="http://www.sinara.ru/" TargetMode="External"/><Relationship Id="rId44" Type="http://schemas.openxmlformats.org/officeDocument/2006/relationships/hyperlink" Target="http://www.sdm.ru/" TargetMode="External"/><Relationship Id="rId43" Type="http://schemas.openxmlformats.org/officeDocument/2006/relationships/hyperlink" Target="http://www.ricom.ru/" TargetMode="External"/><Relationship Id="rId46" Type="http://schemas.openxmlformats.org/officeDocument/2006/relationships/hyperlink" Target="http://solidbroker.ru/" TargetMode="External"/><Relationship Id="rId45" Type="http://schemas.openxmlformats.org/officeDocument/2006/relationships/hyperlink" Target="http://www.sovcombank.ru" TargetMode="External"/><Relationship Id="rId1" Type="http://schemas.openxmlformats.org/officeDocument/2006/relationships/hyperlink" Target="https://itinvest.ru/" TargetMode="External"/><Relationship Id="rId2" Type="http://schemas.openxmlformats.org/officeDocument/2006/relationships/hyperlink" Target="http://www.akbf.ru" TargetMode="External"/><Relationship Id="rId3" Type="http://schemas.openxmlformats.org/officeDocument/2006/relationships/hyperlink" Target="https://ru.wikipedia.org/wiki/%D0%A7%D0%B0%D1%81%D1%82%D0%BD%D1%8B%D0%B9_%D0%B1%D0%B0%D0%BD%D0%BA" TargetMode="External"/><Relationship Id="rId4" Type="http://schemas.openxmlformats.org/officeDocument/2006/relationships/hyperlink" Target="http://www.alefbank.ru" TargetMode="External"/><Relationship Id="rId9" Type="http://schemas.openxmlformats.org/officeDocument/2006/relationships/hyperlink" Target="https://ru.wikipedia.org/wiki/%D0%9C%D0%BE%D1%81%D0%BA%D0%BE%D0%B2%D1%81%D0%BA%D0%B0%D1%8F_%D1%84%D0%BE%D0%BD%D0%B4%D0%BE%D0%B2%D0%B0%D1%8F_%D0%B1%D0%B8%D1%80%D0%B6%D0%B0" TargetMode="External"/><Relationship Id="rId48" Type="http://schemas.openxmlformats.org/officeDocument/2006/relationships/hyperlink" Target="http://www.thbank.ru/" TargetMode="External"/><Relationship Id="rId47" Type="http://schemas.openxmlformats.org/officeDocument/2006/relationships/hyperlink" Target="http://www.banksoyuz.ru/" TargetMode="External"/><Relationship Id="rId49" Type="http://schemas.openxmlformats.org/officeDocument/2006/relationships/hyperlink" Target="http://www.ubrr.ru" TargetMode="External"/><Relationship Id="rId5" Type="http://schemas.openxmlformats.org/officeDocument/2006/relationships/hyperlink" Target="http://www.alpari-broker.ru/" TargetMode="External"/><Relationship Id="rId6" Type="http://schemas.openxmlformats.org/officeDocument/2006/relationships/hyperlink" Target="http://www.veles-capital.ru" TargetMode="External"/><Relationship Id="rId7" Type="http://schemas.openxmlformats.org/officeDocument/2006/relationships/hyperlink" Target="http://www.gasinv.ru" TargetMode="External"/><Relationship Id="rId8" Type="http://schemas.openxmlformats.org/officeDocument/2006/relationships/hyperlink" Target="https://www.kamkombank.ru/" TargetMode="External"/><Relationship Id="rId31" Type="http://schemas.openxmlformats.org/officeDocument/2006/relationships/hyperlink" Target="https://www.rusprofile.ru/id/411475" TargetMode="External"/><Relationship Id="rId30" Type="http://schemas.openxmlformats.org/officeDocument/2006/relationships/hyperlink" Target="http://www.metallinvestbank.ru/" TargetMode="External"/><Relationship Id="rId33" Type="http://schemas.openxmlformats.org/officeDocument/2006/relationships/hyperlink" Target="http://en.nrb.ru/" TargetMode="External"/><Relationship Id="rId32" Type="http://schemas.openxmlformats.org/officeDocument/2006/relationships/hyperlink" Target="https://quantstellation.com/" TargetMode="External"/><Relationship Id="rId35" Type="http://schemas.openxmlformats.org/officeDocument/2006/relationships/hyperlink" Target="http://www.novikom.ru" TargetMode="External"/><Relationship Id="rId34" Type="http://schemas.openxmlformats.org/officeDocument/2006/relationships/hyperlink" Target="https://www.nationalclearingcentre.ru/" TargetMode="External"/><Relationship Id="rId37" Type="http://schemas.openxmlformats.org/officeDocument/2006/relationships/hyperlink" Target="http://www.goinvest.ru" TargetMode="External"/><Relationship Id="rId36" Type="http://schemas.openxmlformats.org/officeDocument/2006/relationships/hyperlink" Target="http://www.octan.ru" TargetMode="External"/><Relationship Id="rId39" Type="http://schemas.openxmlformats.org/officeDocument/2006/relationships/hyperlink" Target="https://www.wimplatform.ru/" TargetMode="External"/><Relationship Id="rId38" Type="http://schemas.openxmlformats.org/officeDocument/2006/relationships/hyperlink" Target="http://www.uralsibbroker.ru" TargetMode="External"/><Relationship Id="rId20" Type="http://schemas.openxmlformats.org/officeDocument/2006/relationships/hyperlink" Target="http://www.finam.ru" TargetMode="External"/><Relationship Id="rId22" Type="http://schemas.openxmlformats.org/officeDocument/2006/relationships/hyperlink" Target="http://www.open-broker.ru" TargetMode="External"/><Relationship Id="rId21" Type="http://schemas.openxmlformats.org/officeDocument/2006/relationships/hyperlink" Target="https://mkb-broker.ru/" TargetMode="External"/><Relationship Id="rId24" Type="http://schemas.openxmlformats.org/officeDocument/2006/relationships/hyperlink" Target="http://www.sbrf-cib.ru" TargetMode="External"/><Relationship Id="rId23" Type="http://schemas.openxmlformats.org/officeDocument/2006/relationships/hyperlink" Target="http://www.otpbank.ru" TargetMode="External"/><Relationship Id="rId26" Type="http://schemas.openxmlformats.org/officeDocument/2006/relationships/hyperlink" Target="http://renbroker.ru" TargetMode="External"/><Relationship Id="rId25" Type="http://schemas.openxmlformats.org/officeDocument/2006/relationships/hyperlink" Target="https://www.raiffeisen-capital.ru/" TargetMode="External"/><Relationship Id="rId28" Type="http://schemas.openxmlformats.org/officeDocument/2006/relationships/hyperlink" Target="http://www.ooo-ubs-bank.com" TargetMode="External"/><Relationship Id="rId27" Type="http://schemas.openxmlformats.org/officeDocument/2006/relationships/hyperlink" Target="https://www.citibank.ru/" TargetMode="External"/><Relationship Id="rId29" Type="http://schemas.openxmlformats.org/officeDocument/2006/relationships/hyperlink" Target="https://murmandengi.ru/" TargetMode="External"/><Relationship Id="rId51" Type="http://schemas.openxmlformats.org/officeDocument/2006/relationships/hyperlink" Target="http://www.finsb.ru/" TargetMode="External"/><Relationship Id="rId50" Type="http://schemas.openxmlformats.org/officeDocument/2006/relationships/hyperlink" Target="https://www.uralsib.ru/" TargetMode="External"/><Relationship Id="rId53" Type="http://schemas.openxmlformats.org/officeDocument/2006/relationships/hyperlink" Target="http://www.expobank.ru/" TargetMode="External"/><Relationship Id="rId52" Type="http://schemas.openxmlformats.org/officeDocument/2006/relationships/hyperlink" Target="http://old.cifra-broker.ru/" TargetMode="External"/><Relationship Id="rId11" Type="http://schemas.openxmlformats.org/officeDocument/2006/relationships/hyperlink" Target="https://www.mlsecurities.ru/" TargetMode="External"/><Relationship Id="rId55" Type="http://schemas.openxmlformats.org/officeDocument/2006/relationships/hyperlink" Target="http://www.derzhava.ru/" TargetMode="External"/><Relationship Id="rId10" Type="http://schemas.openxmlformats.org/officeDocument/2006/relationships/hyperlink" Target="http://www.broker.ru" TargetMode="External"/><Relationship Id="rId54" Type="http://schemas.openxmlformats.org/officeDocument/2006/relationships/hyperlink" Target="http://www.aton.ru/" TargetMode="External"/><Relationship Id="rId13" Type="http://schemas.openxmlformats.org/officeDocument/2006/relationships/hyperlink" Target="https://wunderfund.io/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ladlabs.ru/" TargetMode="External"/><Relationship Id="rId56" Type="http://schemas.openxmlformats.org/officeDocument/2006/relationships/hyperlink" Target="https://quantumbrains.com/" TargetMode="External"/><Relationship Id="rId15" Type="http://schemas.openxmlformats.org/officeDocument/2006/relationships/hyperlink" Target="http://www.ucpadvisory.ru" TargetMode="External"/><Relationship Id="rId14" Type="http://schemas.openxmlformats.org/officeDocument/2006/relationships/hyperlink" Target="https://algocapital.ru/" TargetMode="External"/><Relationship Id="rId17" Type="http://schemas.openxmlformats.org/officeDocument/2006/relationships/hyperlink" Target="http://nprts.ru/" TargetMode="External"/><Relationship Id="rId16" Type="http://schemas.openxmlformats.org/officeDocument/2006/relationships/hyperlink" Target="https://xelius.pro/" TargetMode="External"/><Relationship Id="rId19" Type="http://schemas.openxmlformats.org/officeDocument/2006/relationships/hyperlink" Target="http://www.bank-credit-suisse-moscow.ru" TargetMode="External"/><Relationship Id="rId18" Type="http://schemas.openxmlformats.org/officeDocument/2006/relationships/hyperlink" Target="https://www.zeri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0"/>
    <col customWidth="1" min="4" max="4" width="41.63"/>
    <col customWidth="1" min="5" max="5" width="30.25"/>
    <col customWidth="1" min="6" max="6" width="2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s">
        <v>11</v>
      </c>
      <c r="C2" s="6" t="s">
        <v>12</v>
      </c>
      <c r="D2" s="7" t="s">
        <v>13</v>
      </c>
      <c r="E2" s="7" t="s">
        <v>14</v>
      </c>
      <c r="F2" s="8" t="s">
        <v>15</v>
      </c>
      <c r="G2" s="8" t="s">
        <v>16</v>
      </c>
      <c r="H2" s="8" t="s">
        <v>17</v>
      </c>
      <c r="I2" s="8" t="s">
        <v>18</v>
      </c>
      <c r="J2" s="8" t="s">
        <v>19</v>
      </c>
      <c r="K2" s="9" t="s">
        <v>20</v>
      </c>
      <c r="L2" s="1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>
        <f t="shared" ref="A3:A58" si="1">A2+1</f>
        <v>2</v>
      </c>
      <c r="B3" s="7" t="s">
        <v>21</v>
      </c>
      <c r="C3" s="7" t="s">
        <v>22</v>
      </c>
      <c r="D3" s="7" t="s">
        <v>23</v>
      </c>
      <c r="E3" s="7" t="s">
        <v>24</v>
      </c>
      <c r="F3" s="8" t="s">
        <v>25</v>
      </c>
      <c r="G3" s="8" t="s">
        <v>26</v>
      </c>
      <c r="H3" s="8" t="s">
        <v>27</v>
      </c>
      <c r="I3" s="8" t="s">
        <v>18</v>
      </c>
      <c r="J3" s="8" t="s">
        <v>19</v>
      </c>
      <c r="K3" s="12" t="s">
        <v>28</v>
      </c>
      <c r="L3" s="10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>
        <f t="shared" si="1"/>
        <v>3</v>
      </c>
      <c r="B4" s="7" t="s">
        <v>29</v>
      </c>
      <c r="C4" s="7" t="s">
        <v>30</v>
      </c>
      <c r="D4" s="13" t="s">
        <v>31</v>
      </c>
      <c r="E4" s="7" t="s">
        <v>32</v>
      </c>
      <c r="F4" s="8" t="s">
        <v>33</v>
      </c>
      <c r="G4" s="8" t="s">
        <v>34</v>
      </c>
      <c r="H4" s="8" t="s">
        <v>35</v>
      </c>
      <c r="I4" s="8" t="s">
        <v>18</v>
      </c>
      <c r="J4" s="8" t="s">
        <v>19</v>
      </c>
      <c r="K4" s="14" t="s">
        <v>36</v>
      </c>
      <c r="L4" s="10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>
        <f t="shared" si="1"/>
        <v>4</v>
      </c>
      <c r="B5" s="7" t="s">
        <v>37</v>
      </c>
      <c r="C5" s="7" t="s">
        <v>38</v>
      </c>
      <c r="D5" s="7" t="s">
        <v>39</v>
      </c>
      <c r="E5" s="8" t="s">
        <v>40</v>
      </c>
      <c r="F5" s="8" t="s">
        <v>41</v>
      </c>
      <c r="G5" s="8" t="s">
        <v>42</v>
      </c>
      <c r="H5" s="8" t="s">
        <v>43</v>
      </c>
      <c r="I5" s="8" t="s">
        <v>18</v>
      </c>
      <c r="J5" s="8" t="s">
        <v>19</v>
      </c>
      <c r="K5" s="15" t="s">
        <v>44</v>
      </c>
      <c r="L5" s="10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>
        <f t="shared" si="1"/>
        <v>5</v>
      </c>
      <c r="B6" s="7" t="s">
        <v>45</v>
      </c>
      <c r="C6" s="7" t="s">
        <v>46</v>
      </c>
      <c r="D6" s="7" t="s">
        <v>47</v>
      </c>
      <c r="E6" s="7" t="s">
        <v>48</v>
      </c>
      <c r="F6" s="8" t="s">
        <v>49</v>
      </c>
      <c r="G6" s="8" t="s">
        <v>50</v>
      </c>
      <c r="H6" s="8" t="s">
        <v>51</v>
      </c>
      <c r="I6" s="8" t="s">
        <v>18</v>
      </c>
      <c r="J6" s="8" t="s">
        <v>19</v>
      </c>
      <c r="K6" s="14" t="s">
        <v>52</v>
      </c>
      <c r="L6" s="10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>
        <f t="shared" si="1"/>
        <v>6</v>
      </c>
      <c r="B7" s="7" t="s">
        <v>53</v>
      </c>
      <c r="C7" s="7" t="s">
        <v>54</v>
      </c>
      <c r="D7" s="7" t="s">
        <v>55</v>
      </c>
      <c r="E7" s="8" t="s">
        <v>56</v>
      </c>
      <c r="F7" s="8" t="s">
        <v>57</v>
      </c>
      <c r="G7" s="8" t="s">
        <v>58</v>
      </c>
      <c r="H7" s="8" t="s">
        <v>59</v>
      </c>
      <c r="I7" s="8" t="s">
        <v>18</v>
      </c>
      <c r="J7" s="8" t="s">
        <v>19</v>
      </c>
      <c r="K7" s="14" t="s">
        <v>60</v>
      </c>
      <c r="L7" s="10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8.75" customHeight="1">
      <c r="A8" s="11">
        <f t="shared" si="1"/>
        <v>7</v>
      </c>
      <c r="B8" s="16" t="s">
        <v>61</v>
      </c>
      <c r="C8" s="17">
        <v>1.650025163E9</v>
      </c>
      <c r="D8" s="18">
        <v>1.02160000084E12</v>
      </c>
      <c r="E8" s="19" t="s">
        <v>62</v>
      </c>
      <c r="F8" s="20" t="s">
        <v>63</v>
      </c>
      <c r="G8" s="21" t="s">
        <v>64</v>
      </c>
      <c r="H8" s="21" t="s">
        <v>65</v>
      </c>
      <c r="I8" s="22"/>
      <c r="J8" s="8" t="s">
        <v>19</v>
      </c>
      <c r="K8" s="23" t="s">
        <v>66</v>
      </c>
      <c r="L8" s="24"/>
    </row>
    <row r="9">
      <c r="A9" s="11">
        <f t="shared" si="1"/>
        <v>8</v>
      </c>
      <c r="B9" s="7" t="s">
        <v>67</v>
      </c>
      <c r="C9" s="7" t="s">
        <v>68</v>
      </c>
      <c r="D9" s="13" t="s">
        <v>69</v>
      </c>
      <c r="E9" s="7" t="s">
        <v>70</v>
      </c>
      <c r="F9" s="8" t="s">
        <v>71</v>
      </c>
      <c r="G9" s="8" t="s">
        <v>72</v>
      </c>
      <c r="H9" s="8" t="s">
        <v>73</v>
      </c>
      <c r="I9" s="8" t="s">
        <v>18</v>
      </c>
      <c r="J9" s="8" t="s">
        <v>19</v>
      </c>
      <c r="K9" s="15" t="s">
        <v>74</v>
      </c>
      <c r="L9" s="1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>
        <f t="shared" si="1"/>
        <v>9</v>
      </c>
      <c r="B10" s="7" t="s">
        <v>75</v>
      </c>
      <c r="C10" s="7" t="s">
        <v>76</v>
      </c>
      <c r="D10" s="8" t="s">
        <v>77</v>
      </c>
      <c r="E10" s="8" t="s">
        <v>78</v>
      </c>
      <c r="F10" s="8" t="s">
        <v>79</v>
      </c>
      <c r="G10" s="8" t="s">
        <v>80</v>
      </c>
      <c r="H10" s="8" t="s">
        <v>81</v>
      </c>
      <c r="I10" s="8" t="s">
        <v>18</v>
      </c>
      <c r="J10" s="8" t="s">
        <v>19</v>
      </c>
      <c r="K10" s="12" t="s">
        <v>82</v>
      </c>
      <c r="L10" s="10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>
        <f t="shared" si="1"/>
        <v>10</v>
      </c>
      <c r="B11" s="25" t="s">
        <v>83</v>
      </c>
      <c r="C11" s="26">
        <v>6.08044033E8</v>
      </c>
      <c r="D11" s="25">
        <v>1.17060800054E12</v>
      </c>
      <c r="E11" s="27" t="s">
        <v>84</v>
      </c>
      <c r="F11" s="28" t="s">
        <v>85</v>
      </c>
      <c r="G11" s="29"/>
      <c r="H11" s="30"/>
      <c r="I11" s="30"/>
      <c r="J11" s="30"/>
      <c r="K11" s="8"/>
      <c r="L11" s="24"/>
    </row>
    <row r="12">
      <c r="A12" s="11">
        <f t="shared" si="1"/>
        <v>11</v>
      </c>
      <c r="B12" s="25" t="s">
        <v>86</v>
      </c>
      <c r="C12" s="18">
        <v>5.406814546E9</v>
      </c>
      <c r="D12" s="18">
        <v>1.215400034728E12</v>
      </c>
      <c r="E12" s="27" t="s">
        <v>87</v>
      </c>
      <c r="F12" s="24"/>
      <c r="G12" s="30"/>
      <c r="H12" s="31">
        <v>44425.0</v>
      </c>
      <c r="I12" s="8" t="s">
        <v>18</v>
      </c>
      <c r="J12" s="8" t="s">
        <v>19</v>
      </c>
      <c r="K12" s="32" t="s">
        <v>88</v>
      </c>
      <c r="L12" s="24"/>
    </row>
    <row r="13">
      <c r="A13" s="11">
        <f t="shared" si="1"/>
        <v>12</v>
      </c>
      <c r="B13" s="25" t="s">
        <v>89</v>
      </c>
      <c r="C13" s="33"/>
      <c r="D13" s="25"/>
      <c r="E13" s="24"/>
      <c r="F13" s="24"/>
      <c r="G13" s="30"/>
      <c r="H13" s="34">
        <v>42330.0</v>
      </c>
      <c r="I13" s="30"/>
      <c r="J13" s="8" t="s">
        <v>19</v>
      </c>
      <c r="K13" s="32" t="s">
        <v>90</v>
      </c>
      <c r="L13" s="24"/>
    </row>
    <row r="14">
      <c r="A14" s="11">
        <f t="shared" si="1"/>
        <v>13</v>
      </c>
      <c r="B14" s="7" t="s">
        <v>91</v>
      </c>
      <c r="C14" s="8" t="s">
        <v>92</v>
      </c>
      <c r="D14" s="8" t="s">
        <v>93</v>
      </c>
      <c r="E14" s="7" t="s">
        <v>94</v>
      </c>
      <c r="F14" s="8" t="s">
        <v>95</v>
      </c>
      <c r="G14" s="8" t="s">
        <v>96</v>
      </c>
      <c r="H14" s="8" t="s">
        <v>97</v>
      </c>
      <c r="I14" s="8" t="s">
        <v>18</v>
      </c>
      <c r="J14" s="8" t="s">
        <v>19</v>
      </c>
      <c r="K14" s="12" t="s">
        <v>98</v>
      </c>
      <c r="L14" s="1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>
        <f t="shared" si="1"/>
        <v>14</v>
      </c>
      <c r="B15" s="7" t="s">
        <v>99</v>
      </c>
      <c r="C15" s="7" t="s">
        <v>100</v>
      </c>
      <c r="D15" s="8" t="s">
        <v>101</v>
      </c>
      <c r="E15" s="7" t="s">
        <v>102</v>
      </c>
      <c r="F15" s="8" t="s">
        <v>103</v>
      </c>
      <c r="G15" s="8" t="s">
        <v>104</v>
      </c>
      <c r="H15" s="8" t="s">
        <v>105</v>
      </c>
      <c r="I15" s="8" t="s">
        <v>18</v>
      </c>
      <c r="J15" s="8" t="s">
        <v>19</v>
      </c>
      <c r="K15" s="14" t="s">
        <v>106</v>
      </c>
      <c r="L15" s="10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>
        <f t="shared" si="1"/>
        <v>15</v>
      </c>
      <c r="B16" s="25" t="s">
        <v>107</v>
      </c>
      <c r="C16" s="18">
        <v>7.702812662E9</v>
      </c>
      <c r="D16" s="18">
        <v>1.137746303903E12</v>
      </c>
      <c r="E16" s="27" t="s">
        <v>108</v>
      </c>
      <c r="F16" s="25" t="s">
        <v>109</v>
      </c>
      <c r="G16" s="30"/>
      <c r="H16" s="35">
        <v>41369.0</v>
      </c>
      <c r="I16" s="30"/>
      <c r="J16" s="8" t="s">
        <v>19</v>
      </c>
      <c r="K16" s="32" t="s">
        <v>110</v>
      </c>
      <c r="L16" s="24"/>
    </row>
    <row r="17">
      <c r="A17" s="11">
        <f t="shared" si="1"/>
        <v>16</v>
      </c>
      <c r="B17" s="25" t="s">
        <v>111</v>
      </c>
      <c r="C17" s="36">
        <v>7.71209522E9</v>
      </c>
      <c r="D17" s="37">
        <v>1.027700192651E12</v>
      </c>
      <c r="E17" s="38" t="s">
        <v>112</v>
      </c>
      <c r="F17" s="37" t="s">
        <v>113</v>
      </c>
      <c r="G17" s="30"/>
      <c r="H17" s="30"/>
      <c r="I17" s="30"/>
      <c r="J17" s="8" t="s">
        <v>19</v>
      </c>
      <c r="K17" s="39" t="s">
        <v>114</v>
      </c>
      <c r="L17" s="24"/>
    </row>
    <row r="18">
      <c r="A18" s="11">
        <f t="shared" si="1"/>
        <v>17</v>
      </c>
      <c r="B18" s="40" t="s">
        <v>115</v>
      </c>
      <c r="C18" s="36">
        <v>7.716051506E9</v>
      </c>
      <c r="D18" s="41">
        <v>1.027700066646E12</v>
      </c>
      <c r="E18" s="42" t="s">
        <v>116</v>
      </c>
      <c r="F18" s="42" t="s">
        <v>117</v>
      </c>
      <c r="G18" s="30"/>
      <c r="H18" s="43">
        <v>37477.0</v>
      </c>
      <c r="I18" s="30"/>
      <c r="J18" s="8" t="s">
        <v>19</v>
      </c>
      <c r="K18" s="32" t="s">
        <v>118</v>
      </c>
      <c r="L18" s="24"/>
    </row>
    <row r="19">
      <c r="A19" s="11">
        <f t="shared" si="1"/>
        <v>18</v>
      </c>
      <c r="B19" s="7" t="s">
        <v>119</v>
      </c>
      <c r="C19" s="7" t="s">
        <v>120</v>
      </c>
      <c r="D19" s="44"/>
      <c r="E19" s="7" t="s">
        <v>121</v>
      </c>
      <c r="F19" s="45"/>
      <c r="G19" s="8" t="s">
        <v>122</v>
      </c>
      <c r="H19" s="8" t="s">
        <v>123</v>
      </c>
      <c r="I19" s="8" t="s">
        <v>18</v>
      </c>
      <c r="J19" s="8" t="s">
        <v>19</v>
      </c>
      <c r="K19" s="14" t="s">
        <v>124</v>
      </c>
      <c r="L19" s="1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>
        <f t="shared" si="1"/>
        <v>19</v>
      </c>
      <c r="B20" s="7" t="s">
        <v>125</v>
      </c>
      <c r="C20" s="7" t="s">
        <v>126</v>
      </c>
      <c r="D20" s="8" t="s">
        <v>127</v>
      </c>
      <c r="E20" s="46"/>
      <c r="F20" s="8" t="s">
        <v>128</v>
      </c>
      <c r="G20" s="8" t="s">
        <v>129</v>
      </c>
      <c r="H20" s="8" t="s">
        <v>130</v>
      </c>
      <c r="I20" s="8" t="s">
        <v>18</v>
      </c>
      <c r="J20" s="8" t="s">
        <v>19</v>
      </c>
      <c r="K20" s="14" t="s">
        <v>131</v>
      </c>
      <c r="L20" s="1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>
        <f t="shared" si="1"/>
        <v>20</v>
      </c>
      <c r="B21" s="7" t="s">
        <v>132</v>
      </c>
      <c r="C21" s="7" t="s">
        <v>133</v>
      </c>
      <c r="D21" s="8" t="s">
        <v>134</v>
      </c>
      <c r="E21" s="8" t="s">
        <v>135</v>
      </c>
      <c r="F21" s="8" t="s">
        <v>136</v>
      </c>
      <c r="G21" s="8" t="s">
        <v>137</v>
      </c>
      <c r="H21" s="8" t="s">
        <v>138</v>
      </c>
      <c r="I21" s="8" t="s">
        <v>18</v>
      </c>
      <c r="J21" s="8" t="s">
        <v>19</v>
      </c>
      <c r="K21" s="14" t="s">
        <v>139</v>
      </c>
      <c r="L21" s="1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">
        <f t="shared" si="1"/>
        <v>21</v>
      </c>
      <c r="B22" s="7" t="s">
        <v>140</v>
      </c>
      <c r="C22" s="7" t="s">
        <v>141</v>
      </c>
      <c r="D22" s="8" t="s">
        <v>142</v>
      </c>
      <c r="E22" s="8" t="s">
        <v>143</v>
      </c>
      <c r="F22" s="8" t="s">
        <v>144</v>
      </c>
      <c r="G22" s="8" t="s">
        <v>145</v>
      </c>
      <c r="H22" s="8" t="s">
        <v>146</v>
      </c>
      <c r="I22" s="8" t="s">
        <v>18</v>
      </c>
      <c r="J22" s="8" t="s">
        <v>19</v>
      </c>
      <c r="K22" s="14" t="s">
        <v>147</v>
      </c>
      <c r="L22" s="1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">
        <f t="shared" si="1"/>
        <v>22</v>
      </c>
      <c r="B23" s="7" t="s">
        <v>148</v>
      </c>
      <c r="C23" s="7" t="s">
        <v>149</v>
      </c>
      <c r="D23" s="8" t="s">
        <v>150</v>
      </c>
      <c r="E23" s="8" t="s">
        <v>151</v>
      </c>
      <c r="F23" s="8" t="s">
        <v>152</v>
      </c>
      <c r="G23" s="8" t="s">
        <v>153</v>
      </c>
      <c r="H23" s="8" t="s">
        <v>154</v>
      </c>
      <c r="I23" s="8" t="s">
        <v>18</v>
      </c>
      <c r="J23" s="8" t="s">
        <v>19</v>
      </c>
      <c r="K23" s="14" t="s">
        <v>155</v>
      </c>
      <c r="L23" s="1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>
        <f t="shared" si="1"/>
        <v>23</v>
      </c>
      <c r="B24" s="7" t="s">
        <v>156</v>
      </c>
      <c r="C24" s="7" t="s">
        <v>157</v>
      </c>
      <c r="D24" s="8" t="s">
        <v>158</v>
      </c>
      <c r="E24" s="8" t="s">
        <v>159</v>
      </c>
      <c r="F24" s="8" t="s">
        <v>160</v>
      </c>
      <c r="G24" s="8" t="s">
        <v>161</v>
      </c>
      <c r="H24" s="8" t="s">
        <v>162</v>
      </c>
      <c r="I24" s="8" t="s">
        <v>18</v>
      </c>
      <c r="J24" s="8" t="s">
        <v>19</v>
      </c>
      <c r="K24" s="14" t="s">
        <v>163</v>
      </c>
      <c r="L24" s="1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>
        <f t="shared" si="1"/>
        <v>24</v>
      </c>
      <c r="B25" s="7" t="s">
        <v>164</v>
      </c>
      <c r="C25" s="7" t="s">
        <v>165</v>
      </c>
      <c r="D25" s="8" t="s">
        <v>166</v>
      </c>
      <c r="E25" s="8" t="s">
        <v>167</v>
      </c>
      <c r="F25" s="8" t="s">
        <v>168</v>
      </c>
      <c r="G25" s="8" t="s">
        <v>169</v>
      </c>
      <c r="H25" s="8" t="s">
        <v>123</v>
      </c>
      <c r="I25" s="8" t="s">
        <v>18</v>
      </c>
      <c r="J25" s="8" t="s">
        <v>19</v>
      </c>
      <c r="K25" s="14" t="s">
        <v>170</v>
      </c>
      <c r="L25" s="1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>
        <f t="shared" si="1"/>
        <v>25</v>
      </c>
      <c r="B26" s="7" t="s">
        <v>171</v>
      </c>
      <c r="C26" s="7" t="s">
        <v>172</v>
      </c>
      <c r="D26" s="8" t="s">
        <v>173</v>
      </c>
      <c r="E26" s="8" t="s">
        <v>174</v>
      </c>
      <c r="F26" s="8" t="s">
        <v>175</v>
      </c>
      <c r="G26" s="8" t="s">
        <v>176</v>
      </c>
      <c r="H26" s="8" t="s">
        <v>177</v>
      </c>
      <c r="I26" s="8" t="s">
        <v>18</v>
      </c>
      <c r="J26" s="8" t="s">
        <v>19</v>
      </c>
      <c r="K26" s="14" t="s">
        <v>178</v>
      </c>
      <c r="L26" s="1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">
        <f t="shared" si="1"/>
        <v>26</v>
      </c>
      <c r="B27" s="7" t="s">
        <v>179</v>
      </c>
      <c r="C27" s="7" t="s">
        <v>180</v>
      </c>
      <c r="D27" s="8" t="s">
        <v>181</v>
      </c>
      <c r="E27" s="8" t="s">
        <v>182</v>
      </c>
      <c r="F27" s="8" t="s">
        <v>183</v>
      </c>
      <c r="G27" s="8" t="s">
        <v>184</v>
      </c>
      <c r="H27" s="8" t="s">
        <v>130</v>
      </c>
      <c r="I27" s="8" t="s">
        <v>18</v>
      </c>
      <c r="J27" s="8" t="s">
        <v>19</v>
      </c>
      <c r="K27" s="14" t="s">
        <v>185</v>
      </c>
      <c r="L27" s="1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">
        <f t="shared" si="1"/>
        <v>27</v>
      </c>
      <c r="B28" s="16" t="s">
        <v>186</v>
      </c>
      <c r="C28" s="17">
        <v>7.750003982E9</v>
      </c>
      <c r="D28" s="47">
        <v>1.067711001863E12</v>
      </c>
      <c r="E28" s="48" t="s">
        <v>187</v>
      </c>
      <c r="F28" s="49" t="s">
        <v>188</v>
      </c>
      <c r="G28" s="22"/>
      <c r="H28" s="50">
        <v>38785.0</v>
      </c>
      <c r="I28" s="22"/>
      <c r="J28" s="8" t="s">
        <v>19</v>
      </c>
      <c r="K28" s="51" t="s">
        <v>189</v>
      </c>
      <c r="L28" s="24"/>
    </row>
    <row r="29">
      <c r="A29" s="11">
        <f t="shared" si="1"/>
        <v>28</v>
      </c>
      <c r="B29" s="52" t="s">
        <v>190</v>
      </c>
      <c r="C29" s="17">
        <v>5.190057192E9</v>
      </c>
      <c r="D29" s="53">
        <v>1.165190051916E12</v>
      </c>
      <c r="E29" s="53" t="s">
        <v>191</v>
      </c>
      <c r="F29" s="53">
        <v>8.8002347051E10</v>
      </c>
      <c r="G29" s="54" t="s">
        <v>192</v>
      </c>
      <c r="H29" s="55">
        <v>42496.0</v>
      </c>
      <c r="I29" s="8" t="s">
        <v>18</v>
      </c>
      <c r="J29" s="8" t="s">
        <v>19</v>
      </c>
      <c r="K29" s="32" t="s">
        <v>193</v>
      </c>
      <c r="L29" s="24"/>
    </row>
    <row r="30">
      <c r="A30" s="11">
        <f t="shared" si="1"/>
        <v>29</v>
      </c>
      <c r="B30" s="7" t="s">
        <v>194</v>
      </c>
      <c r="C30" s="7" t="s">
        <v>195</v>
      </c>
      <c r="D30" s="8" t="s">
        <v>196</v>
      </c>
      <c r="E30" s="8" t="s">
        <v>197</v>
      </c>
      <c r="F30" s="8" t="s">
        <v>198</v>
      </c>
      <c r="G30" s="56"/>
      <c r="H30" s="56"/>
      <c r="I30" s="8" t="s">
        <v>18</v>
      </c>
      <c r="J30" s="8" t="s">
        <v>19</v>
      </c>
      <c r="K30" s="14" t="s">
        <v>199</v>
      </c>
      <c r="L30" s="10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">
        <f t="shared" si="1"/>
        <v>30</v>
      </c>
      <c r="B31" s="7" t="s">
        <v>200</v>
      </c>
      <c r="C31" s="7" t="s">
        <v>201</v>
      </c>
      <c r="D31" s="8" t="s">
        <v>202</v>
      </c>
      <c r="E31" s="8" t="s">
        <v>203</v>
      </c>
      <c r="F31" s="8" t="s">
        <v>204</v>
      </c>
      <c r="G31" s="8" t="s">
        <v>205</v>
      </c>
      <c r="H31" s="8" t="s">
        <v>206</v>
      </c>
      <c r="I31" s="8" t="s">
        <v>18</v>
      </c>
      <c r="J31" s="8" t="s">
        <v>19</v>
      </c>
      <c r="K31" s="57" t="s">
        <v>207</v>
      </c>
      <c r="L31" s="10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">
        <f t="shared" si="1"/>
        <v>31</v>
      </c>
      <c r="B32" s="58" t="s">
        <v>208</v>
      </c>
      <c r="C32" s="59">
        <v>7.728703241E9</v>
      </c>
      <c r="D32" s="59">
        <v>1.097746355816E12</v>
      </c>
      <c r="E32" s="60" t="s">
        <v>209</v>
      </c>
      <c r="F32" s="24"/>
      <c r="G32" s="24"/>
      <c r="H32" s="61">
        <v>39981.0</v>
      </c>
      <c r="I32" s="24"/>
      <c r="J32" s="8" t="s">
        <v>19</v>
      </c>
      <c r="K32" s="32" t="s">
        <v>210</v>
      </c>
      <c r="L32" s="24"/>
    </row>
    <row r="33">
      <c r="A33" s="11">
        <f t="shared" si="1"/>
        <v>32</v>
      </c>
      <c r="B33" s="16" t="s">
        <v>211</v>
      </c>
      <c r="C33" s="17">
        <v>7.703211512E9</v>
      </c>
      <c r="D33" s="53">
        <v>1.027700458224E12</v>
      </c>
      <c r="E33" s="53" t="s">
        <v>212</v>
      </c>
      <c r="F33" s="53" t="s">
        <v>213</v>
      </c>
      <c r="G33" s="22"/>
      <c r="H33" s="62">
        <v>33934.0</v>
      </c>
      <c r="I33" s="22"/>
      <c r="J33" s="8" t="s">
        <v>19</v>
      </c>
      <c r="K33" s="63" t="s">
        <v>214</v>
      </c>
      <c r="L33" s="24"/>
    </row>
    <row r="34">
      <c r="A34" s="11">
        <f t="shared" si="1"/>
        <v>33</v>
      </c>
      <c r="B34" s="64" t="s">
        <v>215</v>
      </c>
      <c r="C34" s="65">
        <v>7.750004023E9</v>
      </c>
      <c r="D34" s="36">
        <v>1.067711004481E12</v>
      </c>
      <c r="E34" s="66" t="s">
        <v>216</v>
      </c>
      <c r="F34" s="66" t="s">
        <v>217</v>
      </c>
      <c r="G34" s="36" t="s">
        <v>218</v>
      </c>
      <c r="H34" s="67">
        <v>43571.0</v>
      </c>
      <c r="I34" s="8" t="s">
        <v>18</v>
      </c>
      <c r="J34" s="8" t="s">
        <v>19</v>
      </c>
      <c r="K34" s="32" t="s">
        <v>219</v>
      </c>
      <c r="L34" s="24"/>
    </row>
    <row r="35">
      <c r="A35" s="11">
        <f t="shared" si="1"/>
        <v>34</v>
      </c>
      <c r="B35" s="7" t="s">
        <v>220</v>
      </c>
      <c r="C35" s="7" t="s">
        <v>221</v>
      </c>
      <c r="D35" s="8" t="s">
        <v>222</v>
      </c>
      <c r="E35" s="7" t="s">
        <v>223</v>
      </c>
      <c r="F35" s="8" t="s">
        <v>224</v>
      </c>
      <c r="G35" s="8" t="s">
        <v>225</v>
      </c>
      <c r="H35" s="8" t="s">
        <v>226</v>
      </c>
      <c r="I35" s="8" t="s">
        <v>18</v>
      </c>
      <c r="J35" s="8" t="s">
        <v>19</v>
      </c>
      <c r="K35" s="14" t="s">
        <v>227</v>
      </c>
      <c r="L35" s="10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">
        <f t="shared" si="1"/>
        <v>35</v>
      </c>
      <c r="B36" s="7" t="s">
        <v>228</v>
      </c>
      <c r="C36" s="68"/>
      <c r="D36" s="8" t="s">
        <v>229</v>
      </c>
      <c r="E36" s="7" t="s">
        <v>230</v>
      </c>
      <c r="F36" s="8" t="s">
        <v>231</v>
      </c>
      <c r="G36" s="8" t="s">
        <v>232</v>
      </c>
      <c r="H36" s="8" t="s">
        <v>233</v>
      </c>
      <c r="I36" s="8" t="s">
        <v>18</v>
      </c>
      <c r="J36" s="8" t="s">
        <v>19</v>
      </c>
      <c r="K36" s="14" t="s">
        <v>234</v>
      </c>
      <c r="L36" s="10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">
        <f t="shared" si="1"/>
        <v>36</v>
      </c>
      <c r="B37" s="7" t="s">
        <v>235</v>
      </c>
      <c r="C37" s="7" t="s">
        <v>236</v>
      </c>
      <c r="D37" s="8" t="s">
        <v>237</v>
      </c>
      <c r="E37" s="8" t="s">
        <v>238</v>
      </c>
      <c r="F37" s="8" t="s">
        <v>239</v>
      </c>
      <c r="G37" s="8" t="s">
        <v>240</v>
      </c>
      <c r="H37" s="8" t="s">
        <v>241</v>
      </c>
      <c r="I37" s="8" t="s">
        <v>18</v>
      </c>
      <c r="J37" s="8" t="s">
        <v>19</v>
      </c>
      <c r="K37" s="14" t="s">
        <v>242</v>
      </c>
      <c r="L37" s="10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">
        <f t="shared" si="1"/>
        <v>37</v>
      </c>
      <c r="B38" s="7" t="s">
        <v>243</v>
      </c>
      <c r="C38" s="7" t="s">
        <v>244</v>
      </c>
      <c r="D38" s="8" t="s">
        <v>245</v>
      </c>
      <c r="E38" s="7" t="s">
        <v>246</v>
      </c>
      <c r="F38" s="8" t="s">
        <v>247</v>
      </c>
      <c r="G38" s="8" t="s">
        <v>248</v>
      </c>
      <c r="H38" s="8" t="s">
        <v>177</v>
      </c>
      <c r="I38" s="8" t="s">
        <v>18</v>
      </c>
      <c r="J38" s="8" t="s">
        <v>19</v>
      </c>
      <c r="K38" s="14" t="s">
        <v>249</v>
      </c>
      <c r="L38" s="10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">
        <f t="shared" si="1"/>
        <v>38</v>
      </c>
      <c r="B39" s="7" t="s">
        <v>250</v>
      </c>
      <c r="C39" s="7" t="s">
        <v>251</v>
      </c>
      <c r="D39" s="8" t="s">
        <v>252</v>
      </c>
      <c r="E39" s="7" t="s">
        <v>253</v>
      </c>
      <c r="F39" s="8" t="s">
        <v>254</v>
      </c>
      <c r="G39" s="8" t="s">
        <v>255</v>
      </c>
      <c r="H39" s="8" t="s">
        <v>256</v>
      </c>
      <c r="I39" s="8" t="s">
        <v>18</v>
      </c>
      <c r="J39" s="8" t="s">
        <v>19</v>
      </c>
      <c r="K39" s="69" t="s">
        <v>257</v>
      </c>
      <c r="L39" s="10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">
        <f t="shared" si="1"/>
        <v>39</v>
      </c>
      <c r="B40" s="7" t="s">
        <v>258</v>
      </c>
      <c r="C40" s="7" t="s">
        <v>259</v>
      </c>
      <c r="D40" s="8" t="s">
        <v>260</v>
      </c>
      <c r="E40" s="7" t="s">
        <v>261</v>
      </c>
      <c r="F40" s="8" t="s">
        <v>262</v>
      </c>
      <c r="G40" s="8" t="s">
        <v>263</v>
      </c>
      <c r="H40" s="8" t="s">
        <v>264</v>
      </c>
      <c r="I40" s="8" t="s">
        <v>18</v>
      </c>
      <c r="J40" s="8" t="s">
        <v>19</v>
      </c>
      <c r="K40" s="69" t="s">
        <v>265</v>
      </c>
      <c r="L40" s="10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">
        <f t="shared" si="1"/>
        <v>40</v>
      </c>
      <c r="B41" s="7" t="s">
        <v>266</v>
      </c>
      <c r="C41" s="7" t="s">
        <v>267</v>
      </c>
      <c r="D41" s="8" t="s">
        <v>268</v>
      </c>
      <c r="E41" s="7" t="s">
        <v>269</v>
      </c>
      <c r="F41" s="8" t="s">
        <v>270</v>
      </c>
      <c r="G41" s="8" t="s">
        <v>271</v>
      </c>
      <c r="H41" s="8" t="s">
        <v>272</v>
      </c>
      <c r="I41" s="8" t="s">
        <v>18</v>
      </c>
      <c r="J41" s="8" t="s">
        <v>19</v>
      </c>
      <c r="K41" s="69" t="s">
        <v>273</v>
      </c>
      <c r="L41" s="10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">
        <f t="shared" si="1"/>
        <v>41</v>
      </c>
      <c r="B42" s="7" t="s">
        <v>274</v>
      </c>
      <c r="C42" s="7" t="s">
        <v>275</v>
      </c>
      <c r="D42" s="8" t="s">
        <v>276</v>
      </c>
      <c r="E42" s="7" t="s">
        <v>277</v>
      </c>
      <c r="F42" s="8" t="s">
        <v>278</v>
      </c>
      <c r="G42" s="8" t="s">
        <v>279</v>
      </c>
      <c r="H42" s="8" t="s">
        <v>280</v>
      </c>
      <c r="I42" s="8" t="s">
        <v>18</v>
      </c>
      <c r="J42" s="8" t="s">
        <v>19</v>
      </c>
      <c r="K42" s="69" t="s">
        <v>281</v>
      </c>
      <c r="L42" s="10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">
        <f t="shared" si="1"/>
        <v>42</v>
      </c>
      <c r="B43" s="7" t="s">
        <v>282</v>
      </c>
      <c r="C43" s="7" t="s">
        <v>283</v>
      </c>
      <c r="D43" s="8" t="s">
        <v>284</v>
      </c>
      <c r="E43" s="7" t="s">
        <v>285</v>
      </c>
      <c r="F43" s="8" t="s">
        <v>286</v>
      </c>
      <c r="G43" s="8" t="s">
        <v>287</v>
      </c>
      <c r="H43" s="8" t="s">
        <v>288</v>
      </c>
      <c r="I43" s="8" t="s">
        <v>18</v>
      </c>
      <c r="J43" s="8" t="s">
        <v>19</v>
      </c>
      <c r="K43" s="57" t="s">
        <v>289</v>
      </c>
      <c r="L43" s="10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">
        <f t="shared" si="1"/>
        <v>43</v>
      </c>
      <c r="B44" s="7" t="s">
        <v>290</v>
      </c>
      <c r="C44" s="7" t="s">
        <v>291</v>
      </c>
      <c r="D44" s="8" t="s">
        <v>292</v>
      </c>
      <c r="E44" s="7" t="s">
        <v>293</v>
      </c>
      <c r="F44" s="8" t="s">
        <v>294</v>
      </c>
      <c r="G44" s="8" t="s">
        <v>295</v>
      </c>
      <c r="H44" s="8" t="s">
        <v>296</v>
      </c>
      <c r="I44" s="8" t="s">
        <v>18</v>
      </c>
      <c r="J44" s="8" t="s">
        <v>19</v>
      </c>
      <c r="K44" s="69" t="s">
        <v>297</v>
      </c>
      <c r="L44" s="10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">
        <f t="shared" si="1"/>
        <v>44</v>
      </c>
      <c r="B45" s="7" t="s">
        <v>298</v>
      </c>
      <c r="C45" s="7" t="s">
        <v>299</v>
      </c>
      <c r="D45" s="8" t="s">
        <v>300</v>
      </c>
      <c r="E45" s="7" t="s">
        <v>301</v>
      </c>
      <c r="F45" s="8" t="s">
        <v>302</v>
      </c>
      <c r="G45" s="8" t="s">
        <v>303</v>
      </c>
      <c r="H45" s="8" t="s">
        <v>304</v>
      </c>
      <c r="I45" s="8" t="s">
        <v>18</v>
      </c>
      <c r="J45" s="8" t="s">
        <v>19</v>
      </c>
      <c r="K45" s="8" t="s">
        <v>19</v>
      </c>
      <c r="L45" s="10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">
        <f t="shared" si="1"/>
        <v>45</v>
      </c>
      <c r="B46" s="7" t="s">
        <v>305</v>
      </c>
      <c r="C46" s="7" t="s">
        <v>306</v>
      </c>
      <c r="D46" s="8" t="s">
        <v>307</v>
      </c>
      <c r="E46" s="7" t="s">
        <v>308</v>
      </c>
      <c r="F46" s="8" t="s">
        <v>309</v>
      </c>
      <c r="G46" s="8" t="s">
        <v>310</v>
      </c>
      <c r="H46" s="8" t="s">
        <v>123</v>
      </c>
      <c r="I46" s="8" t="s">
        <v>18</v>
      </c>
      <c r="J46" s="8" t="s">
        <v>19</v>
      </c>
      <c r="K46" s="69" t="s">
        <v>311</v>
      </c>
      <c r="L46" s="10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">
        <f t="shared" si="1"/>
        <v>46</v>
      </c>
      <c r="B47" s="64" t="s">
        <v>312</v>
      </c>
      <c r="C47" s="70">
        <v>4.40111648E9</v>
      </c>
      <c r="D47" s="70">
        <v>1.144400000425E12</v>
      </c>
      <c r="E47" s="70" t="s">
        <v>313</v>
      </c>
      <c r="F47" s="71" t="s">
        <v>314</v>
      </c>
      <c r="G47" s="30"/>
      <c r="H47" s="72">
        <v>41978.0</v>
      </c>
      <c r="I47" s="8" t="s">
        <v>18</v>
      </c>
      <c r="J47" s="8" t="s">
        <v>19</v>
      </c>
      <c r="K47" s="32" t="s">
        <v>315</v>
      </c>
      <c r="L47" s="24"/>
    </row>
    <row r="48">
      <c r="A48" s="11">
        <f t="shared" si="1"/>
        <v>47</v>
      </c>
      <c r="B48" s="7" t="s">
        <v>316</v>
      </c>
      <c r="C48" s="7" t="s">
        <v>317</v>
      </c>
      <c r="D48" s="8" t="s">
        <v>318</v>
      </c>
      <c r="E48" s="7" t="s">
        <v>319</v>
      </c>
      <c r="F48" s="8" t="s">
        <v>320</v>
      </c>
      <c r="G48" s="8" t="s">
        <v>321</v>
      </c>
      <c r="H48" s="8" t="s">
        <v>322</v>
      </c>
      <c r="I48" s="8" t="s">
        <v>18</v>
      </c>
      <c r="J48" s="8" t="s">
        <v>19</v>
      </c>
      <c r="K48" s="69" t="s">
        <v>323</v>
      </c>
      <c r="L48" s="10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">
        <f t="shared" si="1"/>
        <v>48</v>
      </c>
      <c r="B49" s="7" t="s">
        <v>324</v>
      </c>
      <c r="C49" s="7" t="s">
        <v>325</v>
      </c>
      <c r="D49" s="8" t="s">
        <v>326</v>
      </c>
      <c r="E49" s="7" t="s">
        <v>327</v>
      </c>
      <c r="F49" s="8" t="s">
        <v>328</v>
      </c>
      <c r="G49" s="8" t="s">
        <v>329</v>
      </c>
      <c r="H49" s="8" t="s">
        <v>330</v>
      </c>
      <c r="I49" s="8" t="s">
        <v>18</v>
      </c>
      <c r="J49" s="8" t="s">
        <v>19</v>
      </c>
      <c r="K49" s="69" t="s">
        <v>331</v>
      </c>
      <c r="L49" s="10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">
        <f t="shared" si="1"/>
        <v>49</v>
      </c>
      <c r="B50" s="7" t="s">
        <v>332</v>
      </c>
      <c r="C50" s="7" t="s">
        <v>333</v>
      </c>
      <c r="D50" s="8" t="s">
        <v>334</v>
      </c>
      <c r="E50" s="7" t="s">
        <v>335</v>
      </c>
      <c r="F50" s="8" t="s">
        <v>336</v>
      </c>
      <c r="G50" s="8" t="s">
        <v>337</v>
      </c>
      <c r="H50" s="8" t="s">
        <v>154</v>
      </c>
      <c r="I50" s="8" t="s">
        <v>18</v>
      </c>
      <c r="J50" s="8" t="s">
        <v>19</v>
      </c>
      <c r="K50" s="69" t="s">
        <v>338</v>
      </c>
      <c r="L50" s="10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">
        <f t="shared" si="1"/>
        <v>50</v>
      </c>
      <c r="B51" s="16" t="s">
        <v>339</v>
      </c>
      <c r="C51" s="17">
        <v>6.608008004E9</v>
      </c>
      <c r="D51" s="73">
        <v>1.02660000035E12</v>
      </c>
      <c r="E51" s="74" t="s">
        <v>340</v>
      </c>
      <c r="F51" s="75" t="s">
        <v>341</v>
      </c>
      <c r="G51" s="74" t="s">
        <v>342</v>
      </c>
      <c r="H51" s="76">
        <v>39499.0</v>
      </c>
      <c r="I51" s="8" t="s">
        <v>18</v>
      </c>
      <c r="J51" s="8" t="s">
        <v>19</v>
      </c>
      <c r="K51" s="32" t="s">
        <v>343</v>
      </c>
      <c r="L51" s="24"/>
    </row>
    <row r="52">
      <c r="A52" s="11">
        <f t="shared" si="1"/>
        <v>51</v>
      </c>
      <c r="B52" s="7" t="s">
        <v>243</v>
      </c>
      <c r="C52" s="7" t="s">
        <v>244</v>
      </c>
      <c r="D52" s="8" t="s">
        <v>245</v>
      </c>
      <c r="E52" s="7" t="s">
        <v>246</v>
      </c>
      <c r="F52" s="8" t="s">
        <v>247</v>
      </c>
      <c r="G52" s="8" t="s">
        <v>248</v>
      </c>
      <c r="H52" s="8" t="s">
        <v>177</v>
      </c>
      <c r="I52" s="8" t="s">
        <v>18</v>
      </c>
      <c r="J52" s="8" t="s">
        <v>19</v>
      </c>
      <c r="K52" s="69" t="s">
        <v>344</v>
      </c>
      <c r="L52" s="10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">
        <f t="shared" si="1"/>
        <v>52</v>
      </c>
      <c r="B53" s="7" t="s">
        <v>345</v>
      </c>
      <c r="C53" s="7" t="s">
        <v>346</v>
      </c>
      <c r="D53" s="8" t="s">
        <v>347</v>
      </c>
      <c r="E53" s="7" t="s">
        <v>348</v>
      </c>
      <c r="F53" s="77"/>
      <c r="G53" s="8" t="s">
        <v>349</v>
      </c>
      <c r="H53" s="8" t="s">
        <v>350</v>
      </c>
      <c r="I53" s="8" t="s">
        <v>18</v>
      </c>
      <c r="J53" s="8" t="s">
        <v>19</v>
      </c>
      <c r="K53" s="69" t="s">
        <v>351</v>
      </c>
      <c r="L53" s="10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">
        <f t="shared" si="1"/>
        <v>53</v>
      </c>
      <c r="B54" s="7" t="s">
        <v>352</v>
      </c>
      <c r="C54" s="7" t="s">
        <v>353</v>
      </c>
      <c r="D54" s="8" t="s">
        <v>354</v>
      </c>
      <c r="E54" s="7" t="s">
        <v>355</v>
      </c>
      <c r="F54" s="8" t="s">
        <v>356</v>
      </c>
      <c r="G54" s="8" t="s">
        <v>357</v>
      </c>
      <c r="H54" s="8" t="s">
        <v>358</v>
      </c>
      <c r="I54" s="8" t="s">
        <v>18</v>
      </c>
      <c r="J54" s="8" t="s">
        <v>19</v>
      </c>
      <c r="K54" s="69" t="s">
        <v>359</v>
      </c>
      <c r="L54" s="10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">
        <f t="shared" si="1"/>
        <v>54</v>
      </c>
      <c r="B55" s="7" t="s">
        <v>360</v>
      </c>
      <c r="C55" s="7" t="s">
        <v>361</v>
      </c>
      <c r="D55" s="8" t="s">
        <v>362</v>
      </c>
      <c r="E55" s="7" t="s">
        <v>363</v>
      </c>
      <c r="F55" s="8" t="s">
        <v>364</v>
      </c>
      <c r="G55" s="8" t="s">
        <v>365</v>
      </c>
      <c r="H55" s="8" t="s">
        <v>123</v>
      </c>
      <c r="I55" s="8" t="s">
        <v>18</v>
      </c>
      <c r="J55" s="8" t="s">
        <v>19</v>
      </c>
      <c r="K55" s="69" t="s">
        <v>366</v>
      </c>
      <c r="L55" s="10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">
        <f t="shared" si="1"/>
        <v>55</v>
      </c>
      <c r="B56" s="78" t="s">
        <v>367</v>
      </c>
      <c r="C56" s="8" t="s">
        <v>368</v>
      </c>
      <c r="D56" s="79" t="s">
        <v>369</v>
      </c>
      <c r="E56" s="8" t="s">
        <v>370</v>
      </c>
      <c r="F56" s="8" t="s">
        <v>371</v>
      </c>
      <c r="G56" s="8" t="s">
        <v>372</v>
      </c>
      <c r="H56" s="8" t="s">
        <v>123</v>
      </c>
      <c r="I56" s="8" t="s">
        <v>18</v>
      </c>
      <c r="J56" s="8" t="s">
        <v>19</v>
      </c>
      <c r="K56" s="69" t="s">
        <v>373</v>
      </c>
      <c r="L56" s="1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>
      <c r="A57" s="11">
        <f t="shared" si="1"/>
        <v>56</v>
      </c>
      <c r="B57" s="8" t="s">
        <v>374</v>
      </c>
      <c r="C57" s="7" t="s">
        <v>375</v>
      </c>
      <c r="D57" s="8" t="s">
        <v>376</v>
      </c>
      <c r="E57" s="8" t="s">
        <v>377</v>
      </c>
      <c r="F57" s="8" t="s">
        <v>378</v>
      </c>
      <c r="G57" s="8" t="s">
        <v>379</v>
      </c>
      <c r="H57" s="8" t="s">
        <v>380</v>
      </c>
      <c r="I57" s="8" t="s">
        <v>18</v>
      </c>
      <c r="J57" s="8" t="s">
        <v>19</v>
      </c>
      <c r="K57" s="69" t="s">
        <v>381</v>
      </c>
      <c r="L57" s="10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">
        <f t="shared" si="1"/>
        <v>57</v>
      </c>
      <c r="B58" s="53" t="s">
        <v>382</v>
      </c>
      <c r="C58" s="24"/>
      <c r="D58" s="24"/>
      <c r="E58" s="24"/>
      <c r="F58" s="24"/>
      <c r="G58" s="24"/>
      <c r="H58" s="24"/>
      <c r="I58" s="24"/>
      <c r="J58" s="8" t="s">
        <v>19</v>
      </c>
      <c r="K58" s="81" t="s">
        <v>383</v>
      </c>
      <c r="L58" s="24"/>
    </row>
    <row r="59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</row>
  </sheetData>
  <hyperlinks>
    <hyperlink r:id="rId1" ref="K2"/>
    <hyperlink r:id="rId2" ref="K3"/>
    <hyperlink r:id="rId3" ref="D4"/>
    <hyperlink r:id="rId4" ref="K4"/>
    <hyperlink r:id="rId5" ref="K5"/>
    <hyperlink r:id="rId6" ref="K6"/>
    <hyperlink r:id="rId7" ref="K7"/>
    <hyperlink r:id="rId8" ref="K8"/>
    <hyperlink r:id="rId9" ref="D9"/>
    <hyperlink r:id="rId10" ref="K9"/>
    <hyperlink r:id="rId11" ref="K10"/>
    <hyperlink r:id="rId12" ref="K12"/>
    <hyperlink r:id="rId13" ref="K13"/>
    <hyperlink r:id="rId14" ref="K14"/>
    <hyperlink r:id="rId15" ref="K15"/>
    <hyperlink r:id="rId16" ref="K16"/>
    <hyperlink r:id="rId17" ref="K17"/>
    <hyperlink r:id="rId18" ref="K18"/>
    <hyperlink r:id="rId19" ref="K19"/>
    <hyperlink r:id="rId20" ref="K20"/>
    <hyperlink r:id="rId21" ref="K21"/>
    <hyperlink r:id="rId22" ref="K22"/>
    <hyperlink r:id="rId23" ref="K23"/>
    <hyperlink r:id="rId24" ref="K24"/>
    <hyperlink r:id="rId25" ref="K25"/>
    <hyperlink r:id="rId26" ref="K26"/>
    <hyperlink r:id="rId27" ref="K27"/>
    <hyperlink r:id="rId28" ref="K28"/>
    <hyperlink r:id="rId29" ref="K29"/>
    <hyperlink r:id="rId30" ref="K30"/>
    <hyperlink r:id="rId31" ref="B32"/>
    <hyperlink r:id="rId32" ref="K32"/>
    <hyperlink r:id="rId33" ref="K33"/>
    <hyperlink r:id="rId34" ref="K34"/>
    <hyperlink r:id="rId35" ref="K35"/>
    <hyperlink r:id="rId36" ref="K36"/>
    <hyperlink r:id="rId37" ref="K37"/>
    <hyperlink r:id="rId38" ref="K38"/>
    <hyperlink r:id="rId39" ref="K39"/>
    <hyperlink r:id="rId40" ref="K40"/>
    <hyperlink r:id="rId41" ref="K41"/>
    <hyperlink r:id="rId42" ref="K42"/>
    <hyperlink r:id="rId43" ref="K44"/>
    <hyperlink r:id="rId44" ref="K46"/>
    <hyperlink r:id="rId45" ref="K47"/>
    <hyperlink r:id="rId46" ref="K48"/>
    <hyperlink r:id="rId47" ref="K49"/>
    <hyperlink r:id="rId48" ref="K50"/>
    <hyperlink r:id="rId49" ref="K51"/>
    <hyperlink r:id="rId50" ref="K52"/>
    <hyperlink r:id="rId51" ref="K53"/>
    <hyperlink r:id="rId52" ref="K54"/>
    <hyperlink r:id="rId53" ref="K55"/>
    <hyperlink r:id="rId54" ref="K56"/>
    <hyperlink r:id="rId55" ref="K57"/>
    <hyperlink r:id="rId56" ref="K58"/>
  </hyperlinks>
  <drawing r:id="rId57"/>
</worksheet>
</file>